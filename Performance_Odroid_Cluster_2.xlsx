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krpic\Dropbox\workspace\SynLoad2\"/>
    </mc:Choice>
  </mc:AlternateContent>
  <xr:revisionPtr revIDLastSave="0" documentId="13_ncr:1_{E34D1094-76BA-4FD0-867C-B422DF7E6035}" xr6:coauthVersionLast="34" xr6:coauthVersionMax="34" xr10:uidLastSave="{00000000-0000-0000-0000-000000000000}"/>
  <bookViews>
    <workbookView xWindow="0" yWindow="0" windowWidth="38400" windowHeight="17730" xr2:uid="{00000000-000D-0000-FFFF-FFFF00000000}"/>
  </bookViews>
  <sheets>
    <sheet name="Computation performance" sheetId="4" r:id="rId1"/>
    <sheet name="Average comm performance" sheetId="6" r:id="rId2"/>
    <sheet name="Send comm performance" sheetId="7" r:id="rId3"/>
    <sheet name="Recv comm performance" sheetId="8" r:id="rId4"/>
    <sheet name="RAW One core per device" sheetId="1" r:id="rId5"/>
    <sheet name="RAW All cores per device" sheetId="2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6" l="1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C44" i="6"/>
  <c r="H29" i="1" l="1"/>
  <c r="G29" i="1"/>
  <c r="F29" i="1"/>
  <c r="E29" i="1"/>
  <c r="D29" i="1"/>
  <c r="C29" i="1"/>
  <c r="B29" i="1"/>
  <c r="H25" i="1"/>
  <c r="G25" i="1"/>
  <c r="F25" i="1"/>
  <c r="E25" i="1"/>
  <c r="D25" i="1"/>
  <c r="C25" i="1"/>
  <c r="B25" i="1"/>
  <c r="H21" i="1"/>
  <c r="G21" i="1"/>
  <c r="F21" i="1"/>
  <c r="E21" i="1"/>
  <c r="D21" i="1"/>
  <c r="C21" i="1"/>
  <c r="B21" i="1"/>
  <c r="H17" i="1"/>
  <c r="G17" i="1"/>
  <c r="F17" i="1"/>
  <c r="E17" i="1"/>
  <c r="D17" i="1"/>
  <c r="C17" i="1"/>
  <c r="B17" i="1"/>
  <c r="H13" i="1"/>
  <c r="G13" i="1"/>
  <c r="F13" i="1"/>
  <c r="E13" i="1"/>
  <c r="D13" i="1"/>
  <c r="C13" i="1"/>
  <c r="B13" i="1"/>
  <c r="H9" i="1"/>
  <c r="G9" i="1"/>
  <c r="F9" i="1"/>
  <c r="E9" i="1"/>
  <c r="D9" i="1"/>
  <c r="C9" i="1"/>
  <c r="B9" i="1"/>
  <c r="C5" i="1"/>
  <c r="D5" i="1"/>
  <c r="E5" i="1"/>
  <c r="F5" i="1"/>
  <c r="G5" i="1"/>
  <c r="H5" i="1"/>
  <c r="B5" i="1"/>
  <c r="F7" i="4"/>
  <c r="E7" i="4"/>
  <c r="D7" i="4"/>
  <c r="C7" i="4"/>
  <c r="F6" i="4"/>
  <c r="E6" i="4"/>
  <c r="D6" i="4"/>
  <c r="C6" i="4"/>
  <c r="F5" i="4"/>
  <c r="E5" i="4"/>
  <c r="D5" i="4"/>
  <c r="C5" i="4"/>
  <c r="F4" i="4"/>
  <c r="E4" i="4"/>
  <c r="D4" i="4"/>
  <c r="C4" i="4"/>
</calcChain>
</file>

<file path=xl/sharedStrings.xml><?xml version="1.0" encoding="utf-8"?>
<sst xmlns="http://schemas.openxmlformats.org/spreadsheetml/2006/main" count="817" uniqueCount="126">
  <si>
    <t>Node name odroid01</t>
  </si>
  <si>
    <t>P0 comp times</t>
  </si>
  <si>
    <t>P0 send to times</t>
  </si>
  <si>
    <t>P0 recv from times</t>
  </si>
  <si>
    <t>Node name odroid02</t>
  </si>
  <si>
    <t>P1 comp times</t>
  </si>
  <si>
    <t>P1 send to times</t>
  </si>
  <si>
    <t>P1 recv from times</t>
  </si>
  <si>
    <t>Node name odroid03</t>
  </si>
  <si>
    <t>P2 comp times</t>
  </si>
  <si>
    <t>P2 send to times</t>
  </si>
  <si>
    <t>P2 recv from times</t>
  </si>
  <si>
    <t>Node name odroid04</t>
  </si>
  <si>
    <t>P3 comp times</t>
  </si>
  <si>
    <t>P3 send to times</t>
  </si>
  <si>
    <t>P3 recv from times</t>
  </si>
  <si>
    <t>Node name odroid05</t>
  </si>
  <si>
    <t>P4 comp times</t>
  </si>
  <si>
    <t>P4 send to times</t>
  </si>
  <si>
    <t>P4 recv from times</t>
  </si>
  <si>
    <t>Node name cubie01</t>
  </si>
  <si>
    <t>P5 comp times</t>
  </si>
  <si>
    <t>P5 send to times</t>
  </si>
  <si>
    <t>P5 recv from times</t>
  </si>
  <si>
    <t>Node name cubie02</t>
  </si>
  <si>
    <t>P6 comp times</t>
  </si>
  <si>
    <t>P6 send to times</t>
  </si>
  <si>
    <t>P6 recv from times</t>
  </si>
  <si>
    <t>P7 comp times</t>
  </si>
  <si>
    <t>P7 send to times</t>
  </si>
  <si>
    <t>P7 recv from times</t>
  </si>
  <si>
    <t>P8 comp times</t>
  </si>
  <si>
    <t>P8 send to times</t>
  </si>
  <si>
    <t>P8 recv from times</t>
  </si>
  <si>
    <t>P9 comp times</t>
  </si>
  <si>
    <t>P9 send to times</t>
  </si>
  <si>
    <t>P9 recv from times</t>
  </si>
  <si>
    <t>P10 comp times</t>
  </si>
  <si>
    <t>P10 send to times</t>
  </si>
  <si>
    <t>P10 recv from times</t>
  </si>
  <si>
    <t>P11 comp times</t>
  </si>
  <si>
    <t>P11 send to times</t>
  </si>
  <si>
    <t>P11 recv from times</t>
  </si>
  <si>
    <t>P12 comp times</t>
  </si>
  <si>
    <t>P12 send to times</t>
  </si>
  <si>
    <t>P12 recv from times</t>
  </si>
  <si>
    <t>P13 comp times</t>
  </si>
  <si>
    <t>P13 send to times</t>
  </si>
  <si>
    <t>P13 recv from times</t>
  </si>
  <si>
    <t>P14 comp times</t>
  </si>
  <si>
    <t>P14 send to times</t>
  </si>
  <si>
    <t>P14 recv from times</t>
  </si>
  <si>
    <t>P15 comp times</t>
  </si>
  <si>
    <t>P15 send to times</t>
  </si>
  <si>
    <t>P15 recv from times</t>
  </si>
  <si>
    <t>P16 comp times</t>
  </si>
  <si>
    <t>P16 send to times</t>
  </si>
  <si>
    <t>P16 recv from times</t>
  </si>
  <si>
    <t>P17 comp times</t>
  </si>
  <si>
    <t>P17 send to times</t>
  </si>
  <si>
    <t>P17 recv from times</t>
  </si>
  <si>
    <t>P18 comp times</t>
  </si>
  <si>
    <t>P18 send to times</t>
  </si>
  <si>
    <t>P18 recv from times</t>
  </si>
  <si>
    <t>P19 comp times</t>
  </si>
  <si>
    <t>P19 send to times</t>
  </si>
  <si>
    <t>P19 recv from times</t>
  </si>
  <si>
    <t>P20 comp times</t>
  </si>
  <si>
    <t>P20 send to times</t>
  </si>
  <si>
    <t>P20 recv from times</t>
  </si>
  <si>
    <t>P21 comp times</t>
  </si>
  <si>
    <t>P21 send to times</t>
  </si>
  <si>
    <t>P21 recv from times</t>
  </si>
  <si>
    <t>P22 comp times</t>
  </si>
  <si>
    <t>P22 send to times</t>
  </si>
  <si>
    <t>P22 recv from times</t>
  </si>
  <si>
    <t>P23 comp times</t>
  </si>
  <si>
    <t>P23 send to times</t>
  </si>
  <si>
    <t>P23 recv from times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</si>
  <si>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</si>
  <si>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</si>
  <si>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</si>
  <si>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</si>
  <si>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</si>
  <si>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</si>
  <si>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</si>
  <si>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</si>
  <si>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</si>
  <si>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</si>
  <si>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</si>
  <si>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</si>
  <si>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</si>
  <si>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</si>
  <si>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</si>
  <si>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</si>
  <si>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</si>
  <si>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</si>
  <si>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</si>
  <si>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</si>
  <si>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</si>
  <si>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</si>
  <si>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</si>
  <si>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</si>
  <si>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Odroid01</t>
  </si>
  <si>
    <t>Odroid02</t>
  </si>
  <si>
    <t>Odroid03</t>
  </si>
  <si>
    <t>Odroid04</t>
  </si>
  <si>
    <t>Odroid05</t>
  </si>
  <si>
    <t>Cubie01</t>
  </si>
  <si>
    <t>Cubie02</t>
  </si>
  <si>
    <t>Short</t>
  </si>
  <si>
    <t>Integer</t>
  </si>
  <si>
    <t>Float</t>
  </si>
  <si>
    <t>Double</t>
  </si>
  <si>
    <t>Type1</t>
  </si>
  <si>
    <t>Type2</t>
  </si>
  <si>
    <t>Type3</t>
  </si>
  <si>
    <t>Type4</t>
  </si>
  <si>
    <t>Single core per device</t>
  </si>
  <si>
    <t>Time in seconds to transfer 2621440 integers (should equivalent to 10MB of data), the bandwidth is 1/time</t>
  </si>
  <si>
    <t>P0</t>
  </si>
  <si>
    <t>P25</t>
  </si>
  <si>
    <t>Raspi01</t>
  </si>
  <si>
    <t>Raspi02</t>
  </si>
  <si>
    <t>Time in seconds to execute 2 x 10^8 operations of a certain type (measurement 1)</t>
  </si>
  <si>
    <t>Time in seconds to execute 2 x 10^8 operations of a certain type (measurement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</si>
</sst>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G39" sqref="G39"/>
    </sheetView>
  </sheetViews>
  <sheetFormatPr defaultRowHeight="15" x14ac:dyDescent="0.25"/>
  <cols>
    <col min="3" max="6" width="9.5703125" bestFit="1" customWidth="1"/>
    <col min="7" max="7" width="9.5703125" customWidth="1"/>
    <col min="9" max="9" width="10.28515625" bestFit="1" customWidth="1"/>
    <col min="10" max="10" width="11.7109375" style="1" bestFit="1" customWidth="1"/>
    <col min="11" max="11" width="10.5703125" style="1" bestFit="1" customWidth="1"/>
    <col min="12" max="13" width="11.7109375" style="1" bestFit="1" customWidth="1"/>
  </cols>
  <sheetData>
    <row r="1" spans="1:13" ht="42" customHeight="1" x14ac:dyDescent="0.35">
      <c r="A1" s="7" t="s">
        <v>124</v>
      </c>
      <c r="B1" s="7"/>
      <c r="C1" s="7"/>
      <c r="D1" s="7"/>
      <c r="E1" s="7"/>
      <c r="F1" s="7"/>
      <c r="G1" s="5"/>
      <c r="H1" s="7" t="s">
        <v>125</v>
      </c>
      <c r="I1" s="7"/>
      <c r="J1" s="7"/>
      <c r="K1" s="7"/>
      <c r="L1" s="7"/>
      <c r="M1" s="7"/>
    </row>
    <row r="2" spans="1:13" x14ac:dyDescent="0.25">
      <c r="A2" s="1"/>
      <c r="B2" s="1"/>
      <c r="C2" s="3" t="s">
        <v>110</v>
      </c>
      <c r="D2" s="3" t="s">
        <v>111</v>
      </c>
      <c r="E2" s="3" t="s">
        <v>112</v>
      </c>
      <c r="F2" s="3" t="s">
        <v>113</v>
      </c>
      <c r="G2" s="3"/>
      <c r="J2" s="3" t="s">
        <v>110</v>
      </c>
      <c r="K2" s="3" t="s">
        <v>111</v>
      </c>
      <c r="L2" s="3" t="s">
        <v>112</v>
      </c>
      <c r="M2" s="3" t="s">
        <v>113</v>
      </c>
    </row>
    <row r="3" spans="1:13" x14ac:dyDescent="0.25">
      <c r="A3" s="1"/>
      <c r="B3" s="1"/>
      <c r="C3" s="3" t="s">
        <v>114</v>
      </c>
      <c r="D3" s="3" t="s">
        <v>115</v>
      </c>
      <c r="E3" s="3" t="s">
        <v>116</v>
      </c>
      <c r="F3" s="3" t="s">
        <v>117</v>
      </c>
      <c r="G3" s="3"/>
      <c r="J3" s="3" t="s">
        <v>114</v>
      </c>
      <c r="K3" s="3" t="s">
        <v>115</v>
      </c>
      <c r="L3" s="3" t="s">
        <v>116</v>
      </c>
      <c r="M3" s="3" t="s">
        <v>117</v>
      </c>
    </row>
    <row r="4" spans="1:13" x14ac:dyDescent="0.25">
      <c r="A4" s="3" t="s">
        <v>103</v>
      </c>
      <c r="B4" s="3" t="s">
        <v>79</v>
      </c>
      <c r="C4" s="1">
        <f>'RAW All cores per device'!C3</f>
        <v>0.73829630000000002</v>
      </c>
      <c r="D4" s="1">
        <f>'RAW All cores per device'!D3</f>
        <v>0.55561400000000005</v>
      </c>
      <c r="E4" s="1">
        <f>'RAW All cores per device'!E3</f>
        <v>0.73638630000000005</v>
      </c>
      <c r="F4" s="1">
        <f>'RAW All cores per device'!F3</f>
        <v>0.73615960000000003</v>
      </c>
      <c r="G4" s="1"/>
      <c r="H4" s="8" t="s">
        <v>103</v>
      </c>
      <c r="I4" s="8" t="s">
        <v>120</v>
      </c>
      <c r="J4" s="1">
        <v>0.72174099999999997</v>
      </c>
      <c r="K4" s="1">
        <v>0.52987649999999997</v>
      </c>
      <c r="L4" s="1">
        <v>0.79570479999999999</v>
      </c>
      <c r="M4" s="1">
        <v>0.79505590000000004</v>
      </c>
    </row>
    <row r="5" spans="1:13" x14ac:dyDescent="0.25">
      <c r="A5" s="3" t="s">
        <v>104</v>
      </c>
      <c r="B5" s="3" t="s">
        <v>80</v>
      </c>
      <c r="C5" s="1">
        <f>'RAW All cores per device'!C7</f>
        <v>0.80480890000000005</v>
      </c>
      <c r="D5" s="1">
        <f>'RAW All cores per device'!D7</f>
        <v>0.68543359999999998</v>
      </c>
      <c r="E5" s="1">
        <f>'RAW All cores per device'!E7</f>
        <v>1.1257956</v>
      </c>
      <c r="F5" s="1">
        <f>'RAW All cores per device'!F7</f>
        <v>0.88551139999999995</v>
      </c>
      <c r="G5" s="1"/>
      <c r="H5" s="8" t="s">
        <v>103</v>
      </c>
      <c r="I5" s="8" t="s">
        <v>79</v>
      </c>
      <c r="J5" s="1">
        <v>0.72200229999999999</v>
      </c>
      <c r="K5" s="1">
        <v>0.52976230000000002</v>
      </c>
      <c r="L5" s="1">
        <v>0.79505490000000001</v>
      </c>
      <c r="M5" s="1">
        <v>0.79461150000000003</v>
      </c>
    </row>
    <row r="6" spans="1:13" x14ac:dyDescent="0.25">
      <c r="A6" s="3" t="s">
        <v>105</v>
      </c>
      <c r="B6" s="3" t="s">
        <v>81</v>
      </c>
      <c r="C6" s="1">
        <f>'RAW All cores per device'!C11</f>
        <v>0.83253719999999998</v>
      </c>
      <c r="D6" s="1">
        <f>'RAW All cores per device'!D11</f>
        <v>0.72777270000000005</v>
      </c>
      <c r="E6" s="1">
        <f>'RAW All cores per device'!E11</f>
        <v>0.79564290000000004</v>
      </c>
      <c r="F6" s="1">
        <f>'RAW All cores per device'!F11</f>
        <v>1.080889</v>
      </c>
      <c r="G6" s="1"/>
      <c r="H6" s="8" t="s">
        <v>103</v>
      </c>
      <c r="I6" s="8" t="s">
        <v>80</v>
      </c>
      <c r="J6" s="1">
        <v>0.72855499999999995</v>
      </c>
      <c r="K6" s="1">
        <v>0.53064990000000001</v>
      </c>
      <c r="L6" s="1">
        <v>0.79873700000000003</v>
      </c>
      <c r="M6" s="1">
        <v>0.79608959999999995</v>
      </c>
    </row>
    <row r="7" spans="1:13" x14ac:dyDescent="0.25">
      <c r="A7" s="3" t="s">
        <v>106</v>
      </c>
      <c r="B7" s="3" t="s">
        <v>82</v>
      </c>
      <c r="C7" s="1">
        <f>'RAW All cores per device'!C15</f>
        <v>0.67963390000000001</v>
      </c>
      <c r="D7" s="1">
        <f>'RAW All cores per device'!D15</f>
        <v>0.55846479999999998</v>
      </c>
      <c r="E7" s="1">
        <f>'RAW All cores per device'!E15</f>
        <v>0.73571730000000002</v>
      </c>
      <c r="F7" s="1">
        <f>'RAW All cores per device'!F15</f>
        <v>0.73611380000000004</v>
      </c>
      <c r="G7" s="1"/>
      <c r="H7" s="8" t="s">
        <v>103</v>
      </c>
      <c r="I7" s="8" t="s">
        <v>81</v>
      </c>
      <c r="J7" s="1">
        <v>0.72122310000000001</v>
      </c>
      <c r="K7" s="1">
        <v>0.52951809999999999</v>
      </c>
      <c r="L7" s="1">
        <v>0.79438540000000002</v>
      </c>
      <c r="M7" s="1">
        <v>0.79410890000000001</v>
      </c>
    </row>
    <row r="8" spans="1:13" x14ac:dyDescent="0.25">
      <c r="A8" s="3" t="s">
        <v>107</v>
      </c>
      <c r="B8" s="3" t="s">
        <v>83</v>
      </c>
      <c r="C8" s="1">
        <v>0.68198820000000004</v>
      </c>
      <c r="D8" s="1">
        <v>0.55843730000000003</v>
      </c>
      <c r="E8" s="1">
        <v>0.73551920000000004</v>
      </c>
      <c r="F8" s="1">
        <v>0.73553199999999996</v>
      </c>
      <c r="G8" s="1"/>
      <c r="H8" s="8" t="s">
        <v>104</v>
      </c>
      <c r="I8" s="8" t="s">
        <v>82</v>
      </c>
      <c r="J8" s="1">
        <v>0.84354640000000003</v>
      </c>
      <c r="K8" s="1">
        <v>0.52964</v>
      </c>
      <c r="L8" s="1">
        <v>0.79429669999999997</v>
      </c>
      <c r="M8" s="1">
        <v>0.97739580000000004</v>
      </c>
    </row>
    <row r="9" spans="1:13" x14ac:dyDescent="0.25">
      <c r="A9" s="3" t="s">
        <v>108</v>
      </c>
      <c r="B9" s="3" t="s">
        <v>84</v>
      </c>
      <c r="C9" s="1">
        <v>3.6219627999999999</v>
      </c>
      <c r="D9" s="1">
        <v>3.1862373000000002</v>
      </c>
      <c r="E9" s="1">
        <v>2.8632757999999998</v>
      </c>
      <c r="F9" s="1">
        <v>2.7685792</v>
      </c>
      <c r="G9" s="1"/>
      <c r="H9" s="8" t="s">
        <v>104</v>
      </c>
      <c r="I9" s="8" t="s">
        <v>83</v>
      </c>
      <c r="J9" s="1">
        <v>0.72064300000000003</v>
      </c>
      <c r="K9" s="1">
        <v>0.73459030000000003</v>
      </c>
      <c r="L9" s="1">
        <v>1.1292770000000001</v>
      </c>
      <c r="M9" s="1">
        <v>0.91424419999999995</v>
      </c>
    </row>
    <row r="10" spans="1:13" x14ac:dyDescent="0.25">
      <c r="A10" s="3" t="s">
        <v>109</v>
      </c>
      <c r="B10" s="3" t="s">
        <v>85</v>
      </c>
      <c r="C10" s="1">
        <v>3.4532492000000001</v>
      </c>
      <c r="D10" s="1">
        <v>3.2484446</v>
      </c>
      <c r="E10" s="1">
        <v>2.7866963999999999</v>
      </c>
      <c r="F10" s="1">
        <v>2.9172851999999998</v>
      </c>
      <c r="G10" s="1"/>
      <c r="H10" s="8" t="s">
        <v>104</v>
      </c>
      <c r="I10" s="8" t="s">
        <v>84</v>
      </c>
      <c r="J10" s="1">
        <v>0.80148980000000003</v>
      </c>
      <c r="K10" s="1">
        <v>0.5296478</v>
      </c>
      <c r="L10" s="1">
        <v>1.0895349999999999</v>
      </c>
      <c r="M10" s="1">
        <v>1.0330136000000001</v>
      </c>
    </row>
    <row r="11" spans="1:13" x14ac:dyDescent="0.25">
      <c r="A11" s="3" t="s">
        <v>103</v>
      </c>
      <c r="B11" s="3" t="s">
        <v>86</v>
      </c>
      <c r="C11" s="1">
        <v>0.74610920000000003</v>
      </c>
      <c r="D11" s="1">
        <v>0.5556548</v>
      </c>
      <c r="E11" s="1">
        <v>0.73602100000000004</v>
      </c>
      <c r="F11" s="1">
        <v>0.73619990000000002</v>
      </c>
      <c r="G11" s="1"/>
      <c r="H11" s="8" t="s">
        <v>104</v>
      </c>
      <c r="I11" s="8" t="s">
        <v>85</v>
      </c>
      <c r="J11" s="1">
        <v>1.0781105</v>
      </c>
      <c r="K11" s="1">
        <v>0.62955070000000002</v>
      </c>
      <c r="L11" s="1">
        <v>0.85417390000000004</v>
      </c>
      <c r="M11" s="1">
        <v>1.0150619000000001</v>
      </c>
    </row>
    <row r="12" spans="1:13" x14ac:dyDescent="0.25">
      <c r="A12" s="3" t="s">
        <v>104</v>
      </c>
      <c r="B12" s="3" t="s">
        <v>87</v>
      </c>
      <c r="C12" s="1">
        <v>0.85455179999999997</v>
      </c>
      <c r="D12" s="1">
        <v>0.55004739999999996</v>
      </c>
      <c r="E12" s="1">
        <v>1.0103086999999999</v>
      </c>
      <c r="F12" s="1">
        <v>0.89539270000000004</v>
      </c>
      <c r="G12" s="1"/>
      <c r="H12" s="8" t="s">
        <v>105</v>
      </c>
      <c r="I12" s="8" t="s">
        <v>86</v>
      </c>
      <c r="J12" s="1">
        <v>0.78564999999999996</v>
      </c>
      <c r="K12" s="1">
        <v>0.6646938</v>
      </c>
      <c r="L12" s="1">
        <v>0.83478140000000001</v>
      </c>
      <c r="M12" s="1">
        <v>0.84446239999999995</v>
      </c>
    </row>
    <row r="13" spans="1:13" x14ac:dyDescent="0.25">
      <c r="A13" s="3" t="s">
        <v>105</v>
      </c>
      <c r="B13" s="3" t="s">
        <v>88</v>
      </c>
      <c r="C13" s="1">
        <v>1.0882497</v>
      </c>
      <c r="D13" s="1">
        <v>0.89174889999999996</v>
      </c>
      <c r="E13" s="1">
        <v>0.98380849999999997</v>
      </c>
      <c r="F13" s="1">
        <v>0.76629020000000003</v>
      </c>
      <c r="G13" s="1"/>
      <c r="H13" s="8" t="s">
        <v>105</v>
      </c>
      <c r="I13" s="8" t="s">
        <v>87</v>
      </c>
      <c r="J13" s="1">
        <v>0.84267119999999995</v>
      </c>
      <c r="K13" s="1">
        <v>0.5894914</v>
      </c>
      <c r="L13" s="1">
        <v>1.125983</v>
      </c>
      <c r="M13" s="1">
        <v>1.0044503</v>
      </c>
    </row>
    <row r="14" spans="1:13" x14ac:dyDescent="0.25">
      <c r="A14" s="3" t="s">
        <v>106</v>
      </c>
      <c r="B14" s="3" t="s">
        <v>89</v>
      </c>
      <c r="C14" s="1">
        <v>0.73356149999999998</v>
      </c>
      <c r="D14" s="1">
        <v>0.54503630000000003</v>
      </c>
      <c r="E14" s="1">
        <v>0.73519089999999998</v>
      </c>
      <c r="F14" s="1">
        <v>0.73527240000000005</v>
      </c>
      <c r="G14" s="1"/>
      <c r="H14" s="8" t="s">
        <v>105</v>
      </c>
      <c r="I14" s="8" t="s">
        <v>88</v>
      </c>
      <c r="J14" s="1">
        <v>1.270885</v>
      </c>
      <c r="K14" s="1">
        <v>0.54970810000000003</v>
      </c>
      <c r="L14" s="1">
        <v>1.0872288000000001</v>
      </c>
      <c r="M14" s="1">
        <v>0.98437949999999996</v>
      </c>
    </row>
    <row r="15" spans="1:13" x14ac:dyDescent="0.25">
      <c r="A15" s="3" t="s">
        <v>107</v>
      </c>
      <c r="B15" s="3" t="s">
        <v>90</v>
      </c>
      <c r="C15" s="1">
        <v>0.73516150000000002</v>
      </c>
      <c r="D15" s="1">
        <v>0.55080700000000005</v>
      </c>
      <c r="E15" s="1">
        <v>0.73526979999999997</v>
      </c>
      <c r="F15" s="1">
        <v>0.7353961</v>
      </c>
      <c r="G15" s="1"/>
      <c r="H15" s="8" t="s">
        <v>105</v>
      </c>
      <c r="I15" s="8" t="s">
        <v>89</v>
      </c>
      <c r="J15" s="1">
        <v>0.85123470000000001</v>
      </c>
      <c r="K15" s="1">
        <v>0.55947279999999999</v>
      </c>
      <c r="L15" s="1">
        <v>1.1648452</v>
      </c>
      <c r="M15" s="1">
        <v>1.1492804999999999</v>
      </c>
    </row>
    <row r="16" spans="1:13" x14ac:dyDescent="0.25">
      <c r="A16" s="3" t="s">
        <v>108</v>
      </c>
      <c r="B16" s="3" t="s">
        <v>91</v>
      </c>
      <c r="C16" s="1">
        <v>1.78982</v>
      </c>
      <c r="D16" s="1">
        <v>1.5902928999999999</v>
      </c>
      <c r="E16" s="1">
        <v>1.7891579</v>
      </c>
      <c r="F16" s="1">
        <v>1.9685693</v>
      </c>
      <c r="G16" s="1"/>
      <c r="H16" s="8" t="s">
        <v>106</v>
      </c>
      <c r="I16" s="8" t="s">
        <v>90</v>
      </c>
      <c r="J16" s="1">
        <v>0.7507296</v>
      </c>
      <c r="K16" s="1">
        <v>0.75953459999999995</v>
      </c>
      <c r="L16" s="1">
        <v>0.91419240000000002</v>
      </c>
      <c r="M16" s="1">
        <v>1.0142369</v>
      </c>
    </row>
    <row r="17" spans="1:13" x14ac:dyDescent="0.25">
      <c r="A17" s="3" t="s">
        <v>109</v>
      </c>
      <c r="B17" s="3" t="s">
        <v>92</v>
      </c>
      <c r="C17" s="1">
        <v>3.6433317999999999</v>
      </c>
      <c r="D17" s="1">
        <v>3.2263098000000001</v>
      </c>
      <c r="E17" s="1">
        <v>2.9380882000000001</v>
      </c>
      <c r="F17" s="1">
        <v>2.6710769999999999</v>
      </c>
      <c r="G17" s="1"/>
      <c r="H17" s="8" t="s">
        <v>106</v>
      </c>
      <c r="I17" s="8" t="s">
        <v>91</v>
      </c>
      <c r="J17" s="1">
        <v>1.2157754999999999</v>
      </c>
      <c r="K17" s="1">
        <v>0.52952359999999998</v>
      </c>
      <c r="L17" s="1">
        <v>0.79413750000000005</v>
      </c>
      <c r="M17" s="1">
        <v>0.79414200000000001</v>
      </c>
    </row>
    <row r="18" spans="1:13" x14ac:dyDescent="0.25">
      <c r="A18" s="3" t="s">
        <v>103</v>
      </c>
      <c r="B18" s="3" t="s">
        <v>93</v>
      </c>
      <c r="C18" s="1">
        <v>0.73525050000000003</v>
      </c>
      <c r="D18" s="1">
        <v>0.55243869999999995</v>
      </c>
      <c r="E18" s="1">
        <v>0.73681620000000003</v>
      </c>
      <c r="F18" s="1">
        <v>0.73701289999999997</v>
      </c>
      <c r="G18" s="1"/>
      <c r="H18" s="8" t="s">
        <v>106</v>
      </c>
      <c r="I18" s="8" t="s">
        <v>92</v>
      </c>
      <c r="J18" s="1">
        <v>0.84409380000000001</v>
      </c>
      <c r="K18" s="1">
        <v>0.61445740000000004</v>
      </c>
      <c r="L18" s="1">
        <v>1.2373736</v>
      </c>
      <c r="M18" s="1">
        <v>1.2295153000000001</v>
      </c>
    </row>
    <row r="19" spans="1:13" x14ac:dyDescent="0.25">
      <c r="A19" s="3" t="s">
        <v>104</v>
      </c>
      <c r="B19" s="3" t="s">
        <v>94</v>
      </c>
      <c r="C19" s="1">
        <v>0.86251880000000003</v>
      </c>
      <c r="D19" s="1">
        <v>0.59104250000000003</v>
      </c>
      <c r="E19" s="1">
        <v>1.1066883000000001</v>
      </c>
      <c r="F19" s="1">
        <v>1.1262483999999999</v>
      </c>
      <c r="G19" s="1"/>
      <c r="H19" s="8" t="s">
        <v>106</v>
      </c>
      <c r="I19" s="8" t="s">
        <v>93</v>
      </c>
      <c r="J19" s="1">
        <v>0.8151562</v>
      </c>
      <c r="K19" s="1">
        <v>0.84971620000000003</v>
      </c>
      <c r="L19" s="1">
        <v>1.3463459</v>
      </c>
      <c r="M19" s="1">
        <v>0.93937369999999998</v>
      </c>
    </row>
    <row r="20" spans="1:13" x14ac:dyDescent="0.25">
      <c r="A20" s="3" t="s">
        <v>105</v>
      </c>
      <c r="B20" s="3" t="s">
        <v>95</v>
      </c>
      <c r="C20" s="1">
        <v>0.86982300000000001</v>
      </c>
      <c r="D20" s="1">
        <v>0.60705540000000002</v>
      </c>
      <c r="E20" s="1">
        <v>1.0055752</v>
      </c>
      <c r="F20" s="1">
        <v>0.96499060000000003</v>
      </c>
      <c r="G20" s="1"/>
      <c r="H20" s="8" t="s">
        <v>107</v>
      </c>
      <c r="I20" s="8" t="s">
        <v>94</v>
      </c>
      <c r="J20" s="1">
        <v>0.72052119999999997</v>
      </c>
      <c r="K20" s="1">
        <v>0.56953480000000001</v>
      </c>
      <c r="L20" s="1">
        <v>0.87410449999999995</v>
      </c>
      <c r="M20" s="1">
        <v>1.0141156</v>
      </c>
    </row>
    <row r="21" spans="1:13" x14ac:dyDescent="0.25">
      <c r="A21" s="3" t="s">
        <v>106</v>
      </c>
      <c r="B21" s="3" t="s">
        <v>96</v>
      </c>
      <c r="C21" s="1">
        <v>0.6819537</v>
      </c>
      <c r="D21" s="1">
        <v>0.55773090000000003</v>
      </c>
      <c r="E21" s="1">
        <v>0.73567579999999999</v>
      </c>
      <c r="F21" s="1">
        <v>0.73612359999999999</v>
      </c>
      <c r="G21" s="1"/>
      <c r="H21" s="8" t="s">
        <v>107</v>
      </c>
      <c r="I21" s="8" t="s">
        <v>95</v>
      </c>
      <c r="J21" s="1">
        <v>1.1068876000000001</v>
      </c>
      <c r="K21" s="1">
        <v>0.68654300000000001</v>
      </c>
      <c r="L21" s="1">
        <v>1.393405</v>
      </c>
      <c r="M21" s="1">
        <v>1.2246014999999999</v>
      </c>
    </row>
    <row r="22" spans="1:13" x14ac:dyDescent="0.25">
      <c r="A22" s="3" t="s">
        <v>107</v>
      </c>
      <c r="B22" s="3" t="s">
        <v>97</v>
      </c>
      <c r="C22" s="1">
        <v>0.73528269999999996</v>
      </c>
      <c r="D22" s="1">
        <v>0.55292300000000005</v>
      </c>
      <c r="E22" s="1">
        <v>0.73562360000000004</v>
      </c>
      <c r="F22" s="1">
        <v>0.73632880000000001</v>
      </c>
      <c r="G22" s="1"/>
      <c r="H22" s="8" t="s">
        <v>107</v>
      </c>
      <c r="I22" s="8" t="s">
        <v>96</v>
      </c>
      <c r="J22" s="1">
        <v>1.1004634</v>
      </c>
      <c r="K22" s="1">
        <v>0.72467519999999996</v>
      </c>
      <c r="L22" s="1">
        <v>1.1117821000000001</v>
      </c>
      <c r="M22" s="1">
        <v>1.1180464999999999</v>
      </c>
    </row>
    <row r="23" spans="1:13" x14ac:dyDescent="0.25">
      <c r="A23" s="3" t="s">
        <v>108</v>
      </c>
      <c r="B23" s="3" t="s">
        <v>98</v>
      </c>
      <c r="C23" s="1">
        <v>3.6723148999999999</v>
      </c>
      <c r="D23" s="1">
        <v>3.2412071</v>
      </c>
      <c r="E23" s="1">
        <v>2.3945823000000002</v>
      </c>
      <c r="F23" s="1">
        <v>2.5741990000000001</v>
      </c>
      <c r="G23" s="1"/>
      <c r="H23" s="8" t="s">
        <v>107</v>
      </c>
      <c r="I23" s="8" t="s">
        <v>97</v>
      </c>
      <c r="J23" s="1">
        <v>0.83052919999999997</v>
      </c>
      <c r="K23" s="1">
        <v>0.52948640000000002</v>
      </c>
      <c r="L23" s="1">
        <v>0.79403310000000005</v>
      </c>
      <c r="M23" s="1">
        <v>0.79401540000000004</v>
      </c>
    </row>
    <row r="24" spans="1:13" x14ac:dyDescent="0.25">
      <c r="A24" s="3" t="s">
        <v>109</v>
      </c>
      <c r="B24" s="3" t="s">
        <v>99</v>
      </c>
      <c r="C24" s="1">
        <v>1.8783946</v>
      </c>
      <c r="D24" s="1">
        <v>1.5898080000000001</v>
      </c>
      <c r="E24" s="1">
        <v>1.7886293</v>
      </c>
      <c r="F24" s="1">
        <v>1.7882814</v>
      </c>
      <c r="G24" s="1"/>
      <c r="H24" s="8" t="s">
        <v>108</v>
      </c>
      <c r="I24" s="8" t="s">
        <v>98</v>
      </c>
      <c r="J24" s="1">
        <v>3.7476634999999998</v>
      </c>
      <c r="K24" s="1">
        <v>2.3165317000000001</v>
      </c>
      <c r="L24" s="1">
        <v>1.9383075000000001</v>
      </c>
      <c r="M24" s="1">
        <v>1.8881929</v>
      </c>
    </row>
    <row r="25" spans="1:13" x14ac:dyDescent="0.25">
      <c r="A25" s="3" t="s">
        <v>103</v>
      </c>
      <c r="B25" s="3" t="s">
        <v>100</v>
      </c>
      <c r="C25" s="1">
        <v>0.73523640000000001</v>
      </c>
      <c r="D25" s="1">
        <v>0.5528054</v>
      </c>
      <c r="E25" s="1">
        <v>0.73592449999999998</v>
      </c>
      <c r="F25" s="1">
        <v>0.73565530000000001</v>
      </c>
      <c r="G25" s="1"/>
      <c r="H25" s="8" t="s">
        <v>108</v>
      </c>
      <c r="I25" s="8" t="s">
        <v>99</v>
      </c>
      <c r="J25" s="1">
        <v>3.8598645</v>
      </c>
      <c r="K25" s="1">
        <v>3.0831780000000002</v>
      </c>
      <c r="L25" s="1">
        <v>3.8632464</v>
      </c>
      <c r="M25" s="1">
        <v>3.8828651999999999</v>
      </c>
    </row>
    <row r="26" spans="1:13" x14ac:dyDescent="0.25">
      <c r="A26" s="3" t="s">
        <v>104</v>
      </c>
      <c r="B26" s="3" t="s">
        <v>101</v>
      </c>
      <c r="C26" s="1">
        <v>1.2723047999999999</v>
      </c>
      <c r="D26" s="1">
        <v>0.55381389999999997</v>
      </c>
      <c r="E26" s="1">
        <v>0.735429</v>
      </c>
      <c r="F26" s="1">
        <v>0.97815589999999997</v>
      </c>
      <c r="G26" s="1"/>
      <c r="H26" s="8" t="s">
        <v>109</v>
      </c>
      <c r="I26" s="8" t="s">
        <v>100</v>
      </c>
      <c r="J26" s="1">
        <v>3.3600924000000001</v>
      </c>
      <c r="K26" s="1">
        <v>2.8051121000000001</v>
      </c>
      <c r="L26" s="1">
        <v>2.6303933000000002</v>
      </c>
      <c r="M26" s="1">
        <v>3.4204471000000001</v>
      </c>
    </row>
    <row r="27" spans="1:13" x14ac:dyDescent="0.25">
      <c r="A27" s="3" t="s">
        <v>105</v>
      </c>
      <c r="B27" s="3" t="s">
        <v>102</v>
      </c>
      <c r="C27" s="1">
        <v>0.76345280000000004</v>
      </c>
      <c r="D27" s="1">
        <v>0.59665369999999995</v>
      </c>
      <c r="E27" s="1">
        <v>1.1051725999999999</v>
      </c>
      <c r="F27" s="1">
        <v>1.0166356999999999</v>
      </c>
      <c r="G27" s="1"/>
      <c r="H27" s="8" t="s">
        <v>109</v>
      </c>
      <c r="I27" s="8" t="s">
        <v>101</v>
      </c>
      <c r="J27" s="1">
        <v>2.0845341999999998</v>
      </c>
      <c r="K27" s="1">
        <v>2.2934287000000002</v>
      </c>
      <c r="L27" s="1">
        <v>3.5805948000000001</v>
      </c>
      <c r="M27" s="1">
        <v>2.6235089</v>
      </c>
    </row>
    <row r="28" spans="1:13" x14ac:dyDescent="0.25">
      <c r="A28" s="3"/>
      <c r="B28" s="3"/>
      <c r="C28" s="1"/>
      <c r="D28" s="1"/>
      <c r="E28" s="1"/>
      <c r="F28" s="1"/>
      <c r="G28" s="1"/>
      <c r="H28" s="8" t="s">
        <v>122</v>
      </c>
      <c r="I28" s="8" t="s">
        <v>102</v>
      </c>
      <c r="J28" s="1">
        <v>3.5120053000000002</v>
      </c>
      <c r="K28" s="1">
        <v>2.9329429</v>
      </c>
      <c r="L28" s="1">
        <v>5.6131093999999999</v>
      </c>
      <c r="M28" s="1">
        <v>5.5673121999999999</v>
      </c>
    </row>
    <row r="29" spans="1:13" x14ac:dyDescent="0.25">
      <c r="H29" s="8" t="s">
        <v>123</v>
      </c>
      <c r="I29" s="8" t="s">
        <v>121</v>
      </c>
      <c r="J29" s="1">
        <v>3.4880276000000001</v>
      </c>
      <c r="K29" s="1">
        <v>2.9096060000000001</v>
      </c>
      <c r="L29" s="1">
        <v>5.5222882999999996</v>
      </c>
      <c r="M29" s="1">
        <v>5.5234994999999998</v>
      </c>
    </row>
    <row r="30" spans="1:13" x14ac:dyDescent="0.25">
      <c r="A30" s="6" t="s">
        <v>118</v>
      </c>
      <c r="B30" s="6"/>
    </row>
    <row r="31" spans="1:13" x14ac:dyDescent="0.25">
      <c r="A31" s="6"/>
      <c r="B31" s="6"/>
      <c r="C31" s="4"/>
    </row>
    <row r="32" spans="1:13" x14ac:dyDescent="0.25">
      <c r="A32" s="3" t="s">
        <v>103</v>
      </c>
      <c r="B32" s="2" t="s">
        <v>79</v>
      </c>
      <c r="C32" s="1">
        <v>0.71772000000000002</v>
      </c>
      <c r="D32" s="1">
        <v>0.55404039999999999</v>
      </c>
      <c r="E32" s="1">
        <v>0.73537830000000004</v>
      </c>
      <c r="F32" s="1">
        <v>0.73545150000000004</v>
      </c>
      <c r="G32" s="1"/>
      <c r="I32" s="1"/>
    </row>
    <row r="33" spans="1:9" x14ac:dyDescent="0.25">
      <c r="A33" s="3" t="s">
        <v>104</v>
      </c>
      <c r="B33" s="2" t="s">
        <v>80</v>
      </c>
      <c r="C33" s="1">
        <v>0.73469019999999996</v>
      </c>
      <c r="D33" s="1">
        <v>0.55420849999999999</v>
      </c>
      <c r="E33" s="1">
        <v>0.73517160000000004</v>
      </c>
      <c r="F33" s="1">
        <v>0.73526530000000001</v>
      </c>
      <c r="G33" s="1"/>
      <c r="I33" s="1"/>
    </row>
    <row r="34" spans="1:9" x14ac:dyDescent="0.25">
      <c r="A34" s="3" t="s">
        <v>105</v>
      </c>
      <c r="B34" s="2" t="s">
        <v>81</v>
      </c>
      <c r="C34" s="1">
        <v>0.73512339999999998</v>
      </c>
      <c r="D34" s="1">
        <v>0.55393360000000003</v>
      </c>
      <c r="E34" s="1">
        <v>0.73561290000000001</v>
      </c>
      <c r="F34" s="1">
        <v>0.73582460000000005</v>
      </c>
      <c r="G34" s="1"/>
      <c r="I34" s="1"/>
    </row>
    <row r="35" spans="1:9" x14ac:dyDescent="0.25">
      <c r="A35" s="3" t="s">
        <v>106</v>
      </c>
      <c r="B35" s="2" t="s">
        <v>82</v>
      </c>
      <c r="C35" s="1">
        <v>0.67956110000000003</v>
      </c>
      <c r="D35" s="1">
        <v>0.55885859999999998</v>
      </c>
      <c r="E35" s="1">
        <v>0.7356608</v>
      </c>
      <c r="F35" s="1">
        <v>0.7356374</v>
      </c>
      <c r="G35" s="1"/>
      <c r="I35" s="1"/>
    </row>
    <row r="36" spans="1:9" x14ac:dyDescent="0.25">
      <c r="A36" s="3" t="s">
        <v>107</v>
      </c>
      <c r="B36" s="2" t="s">
        <v>83</v>
      </c>
      <c r="C36" s="1">
        <v>0.73372289999999996</v>
      </c>
      <c r="D36" s="1">
        <v>0.54918960000000006</v>
      </c>
      <c r="E36" s="1">
        <v>0.73552229999999996</v>
      </c>
      <c r="F36" s="1">
        <v>0.73640629999999996</v>
      </c>
      <c r="G36" s="1"/>
      <c r="I36" s="1"/>
    </row>
    <row r="37" spans="1:9" x14ac:dyDescent="0.25">
      <c r="A37" s="3" t="s">
        <v>108</v>
      </c>
      <c r="B37" s="2" t="s">
        <v>84</v>
      </c>
      <c r="C37" s="1">
        <v>1.8010941</v>
      </c>
      <c r="D37" s="1">
        <v>1.59076</v>
      </c>
      <c r="E37" s="1">
        <v>1.7885180000000001</v>
      </c>
      <c r="F37" s="1">
        <v>1.7885956999999999</v>
      </c>
      <c r="G37" s="1"/>
      <c r="I37" s="1"/>
    </row>
    <row r="38" spans="1:9" x14ac:dyDescent="0.25">
      <c r="A38" s="3" t="s">
        <v>109</v>
      </c>
      <c r="B38" s="2" t="s">
        <v>85</v>
      </c>
      <c r="C38" s="1">
        <v>1.8004255</v>
      </c>
      <c r="D38" s="1">
        <v>1.5899639000000001</v>
      </c>
      <c r="E38" s="1">
        <v>1.7885997</v>
      </c>
      <c r="F38" s="1">
        <v>1.7885766000000001</v>
      </c>
      <c r="G38" s="1"/>
      <c r="I38" s="1"/>
    </row>
  </sheetData>
  <mergeCells count="3">
    <mergeCell ref="A30:B31"/>
    <mergeCell ref="A1:F1"/>
    <mergeCell ref="H1:M1"/>
  </mergeCells>
  <conditionalFormatting sqref="C4:C2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2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G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C3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3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G3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M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9"/>
  <sheetViews>
    <sheetView topLeftCell="A22" workbookViewId="0">
      <selection activeCell="C77" sqref="C77"/>
    </sheetView>
  </sheetViews>
  <sheetFormatPr defaultRowHeight="15" x14ac:dyDescent="0.25"/>
  <cols>
    <col min="1" max="1" width="14.5703125" customWidth="1"/>
    <col min="2" max="2" width="9.140625" style="2"/>
    <col min="3" max="26" width="9.5703125" style="1" bestFit="1" customWidth="1"/>
    <col min="27" max="28" width="9.5703125" bestFit="1" customWidth="1"/>
  </cols>
  <sheetData>
    <row r="1" spans="1:26" ht="21" x14ac:dyDescent="0.35">
      <c r="A1" s="7" t="s">
        <v>119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103</v>
      </c>
      <c r="K2" s="3" t="s">
        <v>104</v>
      </c>
      <c r="L2" s="3" t="s">
        <v>105</v>
      </c>
      <c r="M2" s="3" t="s">
        <v>106</v>
      </c>
      <c r="N2" s="3" t="s">
        <v>107</v>
      </c>
      <c r="O2" s="3" t="s">
        <v>108</v>
      </c>
      <c r="P2" s="3" t="s">
        <v>109</v>
      </c>
      <c r="Q2" s="3" t="s">
        <v>103</v>
      </c>
      <c r="R2" s="3" t="s">
        <v>104</v>
      </c>
      <c r="S2" s="3" t="s">
        <v>105</v>
      </c>
      <c r="T2" s="3" t="s">
        <v>106</v>
      </c>
      <c r="U2" s="3" t="s">
        <v>107</v>
      </c>
      <c r="V2" s="3" t="s">
        <v>108</v>
      </c>
      <c r="W2" s="3" t="s">
        <v>109</v>
      </c>
      <c r="X2" s="3" t="s">
        <v>103</v>
      </c>
      <c r="Y2" s="3" t="s">
        <v>104</v>
      </c>
      <c r="Z2" s="3" t="s">
        <v>105</v>
      </c>
    </row>
    <row r="3" spans="1:26" s="2" customFormat="1" x14ac:dyDescent="0.25"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89</v>
      </c>
      <c r="N3" s="3" t="s">
        <v>90</v>
      </c>
      <c r="O3" s="3" t="s">
        <v>91</v>
      </c>
      <c r="P3" s="3" t="s">
        <v>92</v>
      </c>
      <c r="Q3" s="3" t="s">
        <v>93</v>
      </c>
      <c r="R3" s="3" t="s">
        <v>94</v>
      </c>
      <c r="S3" s="3" t="s">
        <v>95</v>
      </c>
      <c r="T3" s="3" t="s">
        <v>96</v>
      </c>
      <c r="U3" s="3" t="s">
        <v>97</v>
      </c>
      <c r="V3" s="3" t="s">
        <v>98</v>
      </c>
      <c r="W3" s="3" t="s">
        <v>99</v>
      </c>
      <c r="X3" s="3" t="s">
        <v>100</v>
      </c>
      <c r="Y3" s="3" t="s">
        <v>101</v>
      </c>
      <c r="Z3" s="3" t="s">
        <v>102</v>
      </c>
    </row>
    <row r="4" spans="1:26" x14ac:dyDescent="0.25">
      <c r="A4" s="3" t="s">
        <v>103</v>
      </c>
      <c r="B4" s="2" t="s">
        <v>79</v>
      </c>
      <c r="C4" s="1">
        <v>0</v>
      </c>
      <c r="D4" s="1">
        <v>0.89180934999999995</v>
      </c>
      <c r="E4" s="1">
        <v>0.88439595000000004</v>
      </c>
      <c r="F4" s="1">
        <v>0.88621780000000006</v>
      </c>
      <c r="G4" s="1">
        <v>0.8856911999999999</v>
      </c>
      <c r="H4" s="1">
        <v>0.94488930000000004</v>
      </c>
      <c r="I4" s="1">
        <v>0.93698884999999998</v>
      </c>
      <c r="J4" s="1">
        <v>1.8421649999999998E-2</v>
      </c>
      <c r="K4" s="1">
        <v>0.93143914999999999</v>
      </c>
      <c r="L4" s="1">
        <v>0.89611755000000004</v>
      </c>
      <c r="M4" s="1">
        <v>0.88714610000000005</v>
      </c>
      <c r="N4" s="1">
        <v>0.8883103</v>
      </c>
      <c r="O4" s="1">
        <v>1.01015195</v>
      </c>
      <c r="P4" s="1">
        <v>0.98755134999999994</v>
      </c>
      <c r="Q4" s="1">
        <v>1.8210199999999999E-2</v>
      </c>
      <c r="R4" s="1">
        <v>0.90210060000000003</v>
      </c>
      <c r="S4" s="1">
        <v>0.90741505</v>
      </c>
      <c r="T4" s="1">
        <v>0.88714214999999996</v>
      </c>
      <c r="U4" s="1">
        <v>0.88715385000000002</v>
      </c>
      <c r="V4" s="1">
        <v>0.92385435000000005</v>
      </c>
      <c r="W4" s="1">
        <v>0.99129339999999999</v>
      </c>
      <c r="X4" s="1">
        <v>1.8328900000000002E-2</v>
      </c>
      <c r="Y4" s="1">
        <v>0.93677889999999997</v>
      </c>
      <c r="Z4" s="1">
        <v>0.8890325</v>
      </c>
    </row>
    <row r="5" spans="1:26" x14ac:dyDescent="0.25">
      <c r="A5" s="3" t="s">
        <v>104</v>
      </c>
      <c r="B5" s="2" t="s">
        <v>80</v>
      </c>
      <c r="C5" s="1">
        <v>0.88810334999999996</v>
      </c>
      <c r="D5" s="1">
        <v>0</v>
      </c>
      <c r="E5" s="1">
        <v>0.95252439999999994</v>
      </c>
      <c r="F5" s="1">
        <v>0.91815065000000007</v>
      </c>
      <c r="G5" s="1">
        <v>0.88764559999999992</v>
      </c>
      <c r="H5" s="1">
        <v>1.0237652000000002</v>
      </c>
      <c r="I5" s="1">
        <v>0.91994670000000001</v>
      </c>
      <c r="J5" s="1">
        <v>0.93895139999999999</v>
      </c>
      <c r="K5" s="1">
        <v>2.8036700000000001E-2</v>
      </c>
      <c r="L5" s="1">
        <v>0.93678450000000002</v>
      </c>
      <c r="M5" s="1">
        <v>0.92932225000000002</v>
      </c>
      <c r="N5" s="1">
        <v>0.89941775000000002</v>
      </c>
      <c r="O5" s="1">
        <v>0.98968959999999995</v>
      </c>
      <c r="P5" s="1">
        <v>1.0685861999999999</v>
      </c>
      <c r="Q5" s="1">
        <v>0.88751400000000003</v>
      </c>
      <c r="R5" s="1">
        <v>1.8382450000000002E-2</v>
      </c>
      <c r="S5" s="1">
        <v>0.97600229999999999</v>
      </c>
      <c r="T5" s="1">
        <v>0.91665350000000001</v>
      </c>
      <c r="U5" s="1">
        <v>0.88857505000000003</v>
      </c>
      <c r="V5" s="1">
        <v>0.93847239999999998</v>
      </c>
      <c r="W5" s="1">
        <v>1.1293179</v>
      </c>
      <c r="X5" s="1">
        <v>0.89830030000000005</v>
      </c>
      <c r="Y5" s="1">
        <v>2.8399000000000001E-2</v>
      </c>
      <c r="Z5" s="1">
        <v>0.94105170000000005</v>
      </c>
    </row>
    <row r="6" spans="1:26" x14ac:dyDescent="0.25">
      <c r="A6" s="3" t="s">
        <v>105</v>
      </c>
      <c r="B6" s="2" t="s">
        <v>81</v>
      </c>
      <c r="C6" s="1">
        <v>0.88638630000000007</v>
      </c>
      <c r="D6" s="1">
        <v>0.95968615000000002</v>
      </c>
      <c r="E6" s="1">
        <v>0</v>
      </c>
      <c r="F6" s="1">
        <v>0.93353219999999992</v>
      </c>
      <c r="G6" s="1">
        <v>0.90662655000000003</v>
      </c>
      <c r="H6" s="1">
        <v>0.93413444999999995</v>
      </c>
      <c r="I6" s="1">
        <v>0.88423134999999997</v>
      </c>
      <c r="J6" s="1">
        <v>0.89769244999999998</v>
      </c>
      <c r="K6" s="1">
        <v>0.93710135000000006</v>
      </c>
      <c r="L6" s="1">
        <v>2.4365049999999999E-2</v>
      </c>
      <c r="M6" s="1">
        <v>0.88828774999999993</v>
      </c>
      <c r="N6" s="1">
        <v>0.92457769999999995</v>
      </c>
      <c r="O6" s="1">
        <v>1.0073817</v>
      </c>
      <c r="P6" s="1">
        <v>0.98569629999999997</v>
      </c>
      <c r="Q6" s="1">
        <v>0.88982459999999997</v>
      </c>
      <c r="R6" s="1">
        <v>0.9139427</v>
      </c>
      <c r="S6" s="1">
        <v>3.6770700000000003E-2</v>
      </c>
      <c r="T6" s="1">
        <v>0.89183995000000005</v>
      </c>
      <c r="U6" s="1">
        <v>0.89769195000000002</v>
      </c>
      <c r="V6" s="1">
        <v>0.9682288</v>
      </c>
      <c r="W6" s="1">
        <v>1.071393</v>
      </c>
      <c r="X6" s="1">
        <v>0.89535785000000001</v>
      </c>
      <c r="Y6" s="1">
        <v>0.94348239999999994</v>
      </c>
      <c r="Z6" s="1">
        <v>4.3326749999999997E-2</v>
      </c>
    </row>
    <row r="7" spans="1:26" x14ac:dyDescent="0.25">
      <c r="A7" s="3" t="s">
        <v>106</v>
      </c>
      <c r="B7" s="2" t="s">
        <v>82</v>
      </c>
      <c r="C7" s="1">
        <v>0.88819589999999993</v>
      </c>
      <c r="D7" s="1">
        <v>0.91774105000000006</v>
      </c>
      <c r="E7" s="1">
        <v>0.92778764999999996</v>
      </c>
      <c r="F7" s="1">
        <v>0</v>
      </c>
      <c r="G7" s="1">
        <v>0.8898026</v>
      </c>
      <c r="H7" s="1">
        <v>0.97905529999999996</v>
      </c>
      <c r="I7" s="1">
        <v>0.88416994999999998</v>
      </c>
      <c r="J7" s="1">
        <v>0.88494954999999997</v>
      </c>
      <c r="K7" s="1">
        <v>0.92639709999999997</v>
      </c>
      <c r="L7" s="1">
        <v>0.92936979999999991</v>
      </c>
      <c r="M7" s="1">
        <v>1.8540000000000001E-2</v>
      </c>
      <c r="N7" s="1">
        <v>0.88881204999999996</v>
      </c>
      <c r="O7" s="1">
        <v>0.99851319999999999</v>
      </c>
      <c r="P7" s="1">
        <v>1.0138978000000001</v>
      </c>
      <c r="Q7" s="1">
        <v>0.88504519999999998</v>
      </c>
      <c r="R7" s="1">
        <v>0.93929934999999998</v>
      </c>
      <c r="S7" s="1">
        <v>0.90226519999999999</v>
      </c>
      <c r="T7" s="1">
        <v>1.849435E-2</v>
      </c>
      <c r="U7" s="1">
        <v>0.88864290000000001</v>
      </c>
      <c r="V7" s="1">
        <v>0.88632330000000004</v>
      </c>
      <c r="W7" s="1">
        <v>1.0031178000000001</v>
      </c>
      <c r="X7" s="1">
        <v>0.88499499999999998</v>
      </c>
      <c r="Y7" s="1">
        <v>0.93522775000000002</v>
      </c>
      <c r="Z7" s="1">
        <v>0.91586674999999995</v>
      </c>
    </row>
    <row r="8" spans="1:26" x14ac:dyDescent="0.25">
      <c r="A8" s="3" t="s">
        <v>107</v>
      </c>
      <c r="B8" s="2" t="s">
        <v>83</v>
      </c>
      <c r="C8" s="1">
        <v>0.88411344999999997</v>
      </c>
      <c r="D8" s="1">
        <v>0.88887084999999999</v>
      </c>
      <c r="E8" s="1">
        <v>0.90463695</v>
      </c>
      <c r="F8" s="1">
        <v>0.88550879999999998</v>
      </c>
      <c r="G8" s="1">
        <v>0</v>
      </c>
      <c r="H8" s="1">
        <v>1.0041201</v>
      </c>
      <c r="I8" s="1">
        <v>0.8842932</v>
      </c>
      <c r="J8" s="1">
        <v>0.8848182</v>
      </c>
      <c r="K8" s="1">
        <v>0.91532685000000003</v>
      </c>
      <c r="L8" s="1">
        <v>0.91064009999999995</v>
      </c>
      <c r="M8" s="1">
        <v>0.88827840000000002</v>
      </c>
      <c r="N8" s="1">
        <v>1.8630649999999999E-2</v>
      </c>
      <c r="O8" s="1">
        <v>0.99100230000000011</v>
      </c>
      <c r="P8" s="1">
        <v>0.98038574999999994</v>
      </c>
      <c r="Q8" s="1">
        <v>0.88499725000000007</v>
      </c>
      <c r="R8" s="1">
        <v>0.92822004999999996</v>
      </c>
      <c r="S8" s="1">
        <v>0.92940604999999998</v>
      </c>
      <c r="T8" s="1">
        <v>0.88863254999999997</v>
      </c>
      <c r="U8" s="1">
        <v>1.8722300000000001E-2</v>
      </c>
      <c r="V8" s="1">
        <v>0.88878450000000009</v>
      </c>
      <c r="W8" s="1">
        <v>0.96640134999999994</v>
      </c>
      <c r="X8" s="1">
        <v>0.88504160000000009</v>
      </c>
      <c r="Y8" s="1">
        <v>0.92356195000000008</v>
      </c>
      <c r="Z8" s="1">
        <v>0.90640080000000001</v>
      </c>
    </row>
    <row r="9" spans="1:26" x14ac:dyDescent="0.25">
      <c r="A9" s="3" t="s">
        <v>108</v>
      </c>
      <c r="B9" s="2" t="s">
        <v>84</v>
      </c>
      <c r="C9" s="1">
        <v>0.94720150000000003</v>
      </c>
      <c r="D9" s="1">
        <v>1.0241994999999999</v>
      </c>
      <c r="E9" s="1">
        <v>0.94115185000000001</v>
      </c>
      <c r="F9" s="1">
        <v>0.98078544999999995</v>
      </c>
      <c r="G9" s="1">
        <v>1.00604</v>
      </c>
      <c r="H9" s="1">
        <v>0</v>
      </c>
      <c r="I9" s="1">
        <v>1.08066555</v>
      </c>
      <c r="J9" s="1">
        <v>1.07250775</v>
      </c>
      <c r="K9" s="1">
        <v>1.0336696000000001</v>
      </c>
      <c r="L9" s="1">
        <v>1.0713926499999999</v>
      </c>
      <c r="M9" s="1">
        <v>0.97197375000000008</v>
      </c>
      <c r="N9" s="1">
        <v>1.0461886</v>
      </c>
      <c r="O9" s="1">
        <v>0.98836864999999996</v>
      </c>
      <c r="P9" s="1">
        <v>1.1383227</v>
      </c>
      <c r="Q9" s="1">
        <v>1.00525595</v>
      </c>
      <c r="R9" s="1">
        <v>1.05512465</v>
      </c>
      <c r="S9" s="1">
        <v>1.0182022000000002</v>
      </c>
      <c r="T9" s="1">
        <v>1.0157825</v>
      </c>
      <c r="U9" s="1">
        <v>1.0047865</v>
      </c>
      <c r="V9" s="1">
        <v>7.7810450000000003E-2</v>
      </c>
      <c r="W9" s="1">
        <v>1.06890485</v>
      </c>
      <c r="X9" s="1">
        <v>0.97481914999999997</v>
      </c>
      <c r="Y9" s="1">
        <v>1.1020968</v>
      </c>
      <c r="Z9" s="1">
        <v>1.02442955</v>
      </c>
    </row>
    <row r="10" spans="1:26" x14ac:dyDescent="0.25">
      <c r="A10" s="3" t="s">
        <v>109</v>
      </c>
      <c r="B10" s="2" t="s">
        <v>85</v>
      </c>
      <c r="C10" s="1">
        <v>0.93647765000000005</v>
      </c>
      <c r="D10" s="1">
        <v>0.92118845000000005</v>
      </c>
      <c r="E10" s="1">
        <v>0.88728249999999997</v>
      </c>
      <c r="F10" s="1">
        <v>0.88735414999999995</v>
      </c>
      <c r="G10" s="1">
        <v>0.88661670000000004</v>
      </c>
      <c r="H10" s="1">
        <v>1.07701705</v>
      </c>
      <c r="I10" s="1">
        <v>0</v>
      </c>
      <c r="J10" s="1">
        <v>0.88753389999999999</v>
      </c>
      <c r="K10" s="1">
        <v>0.90560805</v>
      </c>
      <c r="L10" s="1">
        <v>0.91311215000000001</v>
      </c>
      <c r="M10" s="1">
        <v>0.88816604999999993</v>
      </c>
      <c r="N10" s="1">
        <v>0.8866446</v>
      </c>
      <c r="O10" s="1">
        <v>1.00931945</v>
      </c>
      <c r="P10" s="1">
        <v>7.7953250000000002E-2</v>
      </c>
      <c r="Q10" s="1">
        <v>0.88557295000000003</v>
      </c>
      <c r="R10" s="1">
        <v>0.92318440000000002</v>
      </c>
      <c r="S10" s="1">
        <v>0.89011869999999993</v>
      </c>
      <c r="T10" s="1">
        <v>0.88797250000000005</v>
      </c>
      <c r="U10" s="1">
        <v>0.88794470000000003</v>
      </c>
      <c r="V10" s="1">
        <v>0.88918540000000001</v>
      </c>
      <c r="W10" s="1">
        <v>7.49581E-2</v>
      </c>
      <c r="X10" s="1">
        <v>0.88574445000000002</v>
      </c>
      <c r="Y10" s="1">
        <v>0.92783784999999996</v>
      </c>
      <c r="Z10" s="1">
        <v>0.89441559999999998</v>
      </c>
    </row>
    <row r="11" spans="1:26" x14ac:dyDescent="0.25">
      <c r="A11" s="3" t="s">
        <v>103</v>
      </c>
      <c r="B11" s="2" t="s">
        <v>86</v>
      </c>
      <c r="C11" s="1">
        <v>1.8668799999999999E-2</v>
      </c>
      <c r="D11" s="1">
        <v>0.93799854999999999</v>
      </c>
      <c r="E11" s="1">
        <v>0.89784134999999998</v>
      </c>
      <c r="F11" s="1">
        <v>0.88722875000000001</v>
      </c>
      <c r="G11" s="1">
        <v>0.88669259999999994</v>
      </c>
      <c r="H11" s="1">
        <v>1.0666433500000001</v>
      </c>
      <c r="I11" s="1">
        <v>0.88409375000000001</v>
      </c>
      <c r="J11" s="1">
        <v>0</v>
      </c>
      <c r="K11" s="1">
        <v>0.9318595999999999</v>
      </c>
      <c r="L11" s="1">
        <v>0.92928644999999999</v>
      </c>
      <c r="M11" s="1">
        <v>0.88669609999999999</v>
      </c>
      <c r="N11" s="1">
        <v>0.88748684999999994</v>
      </c>
      <c r="O11" s="1">
        <v>0.98780309999999993</v>
      </c>
      <c r="P11" s="1">
        <v>0.98497440000000003</v>
      </c>
      <c r="Q11" s="1">
        <v>1.90058E-2</v>
      </c>
      <c r="R11" s="1">
        <v>0.94601369999999996</v>
      </c>
      <c r="S11" s="1">
        <v>0.91073145</v>
      </c>
      <c r="T11" s="1">
        <v>0.88748779999999994</v>
      </c>
      <c r="U11" s="1">
        <v>0.8873489</v>
      </c>
      <c r="V11" s="1">
        <v>0.88799905000000001</v>
      </c>
      <c r="W11" s="1">
        <v>0.9732847</v>
      </c>
      <c r="X11" s="1">
        <v>1.886355E-2</v>
      </c>
      <c r="Y11" s="1">
        <v>0.90045364999999999</v>
      </c>
      <c r="Z11" s="1">
        <v>0.89884760000000008</v>
      </c>
    </row>
    <row r="12" spans="1:26" x14ac:dyDescent="0.25">
      <c r="A12" s="3" t="s">
        <v>104</v>
      </c>
      <c r="B12" s="2" t="s">
        <v>87</v>
      </c>
      <c r="C12" s="1">
        <v>0.92638930000000008</v>
      </c>
      <c r="D12" s="1">
        <v>2.8009899999999997E-2</v>
      </c>
      <c r="E12" s="1">
        <v>0.94005550000000004</v>
      </c>
      <c r="F12" s="1">
        <v>0.92254665000000002</v>
      </c>
      <c r="G12" s="1">
        <v>0.91343215</v>
      </c>
      <c r="H12" s="1">
        <v>1.0322993999999999</v>
      </c>
      <c r="I12" s="1">
        <v>0.90362790000000004</v>
      </c>
      <c r="J12" s="1">
        <v>0.92901404999999992</v>
      </c>
      <c r="K12" s="1">
        <v>0</v>
      </c>
      <c r="L12" s="1">
        <v>0.90340880000000001</v>
      </c>
      <c r="M12" s="1">
        <v>0.89214324999999994</v>
      </c>
      <c r="N12" s="1">
        <v>0.88728655000000001</v>
      </c>
      <c r="O12" s="1">
        <v>1.0347991000000001</v>
      </c>
      <c r="P12" s="1">
        <v>1.05661655</v>
      </c>
      <c r="Q12" s="1">
        <v>0.91065075000000006</v>
      </c>
      <c r="R12" s="1">
        <v>0.2087688</v>
      </c>
      <c r="S12" s="1">
        <v>0.98583469999999995</v>
      </c>
      <c r="T12" s="1">
        <v>0.90264834999999999</v>
      </c>
      <c r="U12" s="1">
        <v>0.90801390000000004</v>
      </c>
      <c r="V12" s="1">
        <v>0.89518604999999996</v>
      </c>
      <c r="W12" s="1">
        <v>0.97809669999999993</v>
      </c>
      <c r="X12" s="1">
        <v>0.90852664999999999</v>
      </c>
      <c r="Y12" s="1">
        <v>3.565575E-2</v>
      </c>
      <c r="Z12" s="1">
        <v>0.93934090000000003</v>
      </c>
    </row>
    <row r="13" spans="1:26" x14ac:dyDescent="0.25">
      <c r="A13" s="3" t="s">
        <v>105</v>
      </c>
      <c r="B13" s="2" t="s">
        <v>88</v>
      </c>
      <c r="C13" s="1">
        <v>0.88984489999999994</v>
      </c>
      <c r="D13" s="1">
        <v>0.93671945000000001</v>
      </c>
      <c r="E13" s="1">
        <v>2.3674600000000001E-2</v>
      </c>
      <c r="F13" s="1">
        <v>0.92979515000000001</v>
      </c>
      <c r="G13" s="1">
        <v>0.90800750000000008</v>
      </c>
      <c r="H13" s="1">
        <v>1.06628415</v>
      </c>
      <c r="I13" s="1">
        <v>0.90422785000000006</v>
      </c>
      <c r="J13" s="1">
        <v>0.92527460000000006</v>
      </c>
      <c r="K13" s="1">
        <v>0.90478514999999993</v>
      </c>
      <c r="L13" s="1">
        <v>0</v>
      </c>
      <c r="M13" s="1">
        <v>0.88763269999999994</v>
      </c>
      <c r="N13" s="1">
        <v>0.91834045000000009</v>
      </c>
      <c r="O13" s="1">
        <v>1.0184520500000001</v>
      </c>
      <c r="P13" s="1">
        <v>0.98128775000000001</v>
      </c>
      <c r="Q13" s="1">
        <v>0.89296639999999994</v>
      </c>
      <c r="R13" s="1">
        <v>0.94747589999999993</v>
      </c>
      <c r="S13" s="1">
        <v>2.795065E-2</v>
      </c>
      <c r="T13" s="1">
        <v>0.92880984999999994</v>
      </c>
      <c r="U13" s="1">
        <v>0.91509620000000003</v>
      </c>
      <c r="V13" s="1">
        <v>0.89580594999999996</v>
      </c>
      <c r="W13" s="1">
        <v>1.0622125</v>
      </c>
      <c r="X13" s="1">
        <v>0.93469515000000003</v>
      </c>
      <c r="Y13" s="1">
        <v>0.93360200000000004</v>
      </c>
      <c r="Z13" s="1">
        <v>2.3188500000000001E-2</v>
      </c>
    </row>
    <row r="14" spans="1:26" x14ac:dyDescent="0.25">
      <c r="A14" s="3" t="s">
        <v>106</v>
      </c>
      <c r="B14" s="2" t="s">
        <v>89</v>
      </c>
      <c r="C14" s="1">
        <v>0.88503074999999998</v>
      </c>
      <c r="D14" s="1">
        <v>0.92816984999999996</v>
      </c>
      <c r="E14" s="1">
        <v>0.89359820000000001</v>
      </c>
      <c r="F14" s="1">
        <v>1.85156E-2</v>
      </c>
      <c r="G14" s="1">
        <v>0.88833764999999998</v>
      </c>
      <c r="H14" s="1">
        <v>0.9641824</v>
      </c>
      <c r="I14" s="1">
        <v>0.88491205000000006</v>
      </c>
      <c r="J14" s="1">
        <v>0.88513590000000009</v>
      </c>
      <c r="K14" s="1">
        <v>0.89811560000000001</v>
      </c>
      <c r="L14" s="1">
        <v>0.88613485000000003</v>
      </c>
      <c r="M14" s="1">
        <v>0</v>
      </c>
      <c r="N14" s="1">
        <v>0.88925255000000003</v>
      </c>
      <c r="O14" s="1">
        <v>1.0197749</v>
      </c>
      <c r="P14" s="1">
        <v>0.9884999000000001</v>
      </c>
      <c r="Q14" s="1">
        <v>0.88547514999999999</v>
      </c>
      <c r="R14" s="1">
        <v>0.90165450000000003</v>
      </c>
      <c r="S14" s="1">
        <v>0.92477414999999996</v>
      </c>
      <c r="T14" s="1">
        <v>1.8598049999999998E-2</v>
      </c>
      <c r="U14" s="1">
        <v>0.88848780000000005</v>
      </c>
      <c r="V14" s="1">
        <v>0.88516640000000002</v>
      </c>
      <c r="W14" s="1">
        <v>1.0430725999999999</v>
      </c>
      <c r="X14" s="1">
        <v>0.88524665000000002</v>
      </c>
      <c r="Y14" s="1">
        <v>0.90045269999999999</v>
      </c>
      <c r="Z14" s="1">
        <v>0.91851934999999996</v>
      </c>
    </row>
    <row r="15" spans="1:26" x14ac:dyDescent="0.25">
      <c r="A15" s="3" t="s">
        <v>107</v>
      </c>
      <c r="B15" s="2" t="s">
        <v>90</v>
      </c>
      <c r="C15" s="1">
        <v>0.88750039999999997</v>
      </c>
      <c r="D15" s="1">
        <v>0.89774894999999999</v>
      </c>
      <c r="E15" s="1">
        <v>0.92322685000000004</v>
      </c>
      <c r="F15" s="1">
        <v>0.88770795000000002</v>
      </c>
      <c r="G15" s="1">
        <v>1.8604900000000001E-2</v>
      </c>
      <c r="H15" s="1">
        <v>1.03649115</v>
      </c>
      <c r="I15" s="1">
        <v>0.88496909999999995</v>
      </c>
      <c r="J15" s="1">
        <v>0.88484815000000006</v>
      </c>
      <c r="K15" s="1">
        <v>0.89056540000000006</v>
      </c>
      <c r="L15" s="1">
        <v>0.91167414999999996</v>
      </c>
      <c r="M15" s="1">
        <v>0.8877275</v>
      </c>
      <c r="N15" s="1">
        <v>0</v>
      </c>
      <c r="O15" s="1">
        <v>1.021549</v>
      </c>
      <c r="P15" s="1">
        <v>0.97620985000000005</v>
      </c>
      <c r="Q15" s="1">
        <v>0.88467395000000004</v>
      </c>
      <c r="R15" s="1">
        <v>0.89056325000000003</v>
      </c>
      <c r="S15" s="1">
        <v>0.92421280000000006</v>
      </c>
      <c r="T15" s="1">
        <v>0.88852739999999997</v>
      </c>
      <c r="U15" s="1">
        <v>1.8525150000000001E-2</v>
      </c>
      <c r="V15" s="1">
        <v>0.88510705000000001</v>
      </c>
      <c r="W15" s="1">
        <v>1.00839005</v>
      </c>
      <c r="X15" s="1">
        <v>0.88475324999999994</v>
      </c>
      <c r="Y15" s="1">
        <v>0.89886795000000008</v>
      </c>
      <c r="Z15" s="1">
        <v>0.92443904999999993</v>
      </c>
    </row>
    <row r="16" spans="1:26" x14ac:dyDescent="0.25">
      <c r="A16" s="3" t="s">
        <v>108</v>
      </c>
      <c r="B16" s="2" t="s">
        <v>91</v>
      </c>
      <c r="C16" s="1">
        <v>1.0081341500000001</v>
      </c>
      <c r="D16" s="1">
        <v>0.98843134999999993</v>
      </c>
      <c r="E16" s="1">
        <v>1.01068655</v>
      </c>
      <c r="F16" s="1">
        <v>0.99814524999999998</v>
      </c>
      <c r="G16" s="1">
        <v>0.98590304999999989</v>
      </c>
      <c r="H16" s="1">
        <v>0.97816989999999993</v>
      </c>
      <c r="I16" s="1">
        <v>1.0029593999999999</v>
      </c>
      <c r="J16" s="1">
        <v>0.96987899999999994</v>
      </c>
      <c r="K16" s="1">
        <v>1.0227053000000002</v>
      </c>
      <c r="L16" s="1">
        <v>1.02039375</v>
      </c>
      <c r="M16" s="1">
        <v>1.0108694</v>
      </c>
      <c r="N16" s="1">
        <v>1.0183475</v>
      </c>
      <c r="O16" s="1">
        <v>0</v>
      </c>
      <c r="P16" s="1">
        <v>1.13940515</v>
      </c>
      <c r="Q16" s="1">
        <v>0.98551224999999998</v>
      </c>
      <c r="R16" s="1">
        <v>1.0430853499999999</v>
      </c>
      <c r="S16" s="1">
        <v>0.9793947999999999</v>
      </c>
      <c r="T16" s="1">
        <v>1.0602904500000001</v>
      </c>
      <c r="U16" s="1">
        <v>1.0010022000000001</v>
      </c>
      <c r="V16" s="1">
        <v>7.5161100000000008E-2</v>
      </c>
      <c r="W16" s="1">
        <v>1.1326019999999999</v>
      </c>
      <c r="X16" s="1">
        <v>1.01566125</v>
      </c>
      <c r="Y16" s="1">
        <v>1.09684515</v>
      </c>
      <c r="Z16" s="1">
        <v>0.99695694999999995</v>
      </c>
    </row>
    <row r="17" spans="1:26" x14ac:dyDescent="0.25">
      <c r="A17" s="3" t="s">
        <v>109</v>
      </c>
      <c r="B17" s="2" t="s">
        <v>92</v>
      </c>
      <c r="C17" s="1">
        <v>0.98290980000000006</v>
      </c>
      <c r="D17" s="1">
        <v>1.0640672499999999</v>
      </c>
      <c r="E17" s="1">
        <v>0.98469640000000003</v>
      </c>
      <c r="F17" s="1">
        <v>1.0165121500000001</v>
      </c>
      <c r="G17" s="1">
        <v>0.97574735000000001</v>
      </c>
      <c r="H17" s="1">
        <v>1.1402197000000001</v>
      </c>
      <c r="I17" s="1">
        <v>7.2631599999999991E-2</v>
      </c>
      <c r="J17" s="1">
        <v>0.98322700000000007</v>
      </c>
      <c r="K17" s="1">
        <v>1.0536961499999999</v>
      </c>
      <c r="L17" s="1">
        <v>0.98735115000000007</v>
      </c>
      <c r="M17" s="1">
        <v>0.97794270000000005</v>
      </c>
      <c r="N17" s="1">
        <v>0.97395474999999998</v>
      </c>
      <c r="O17" s="1">
        <v>1.1453276999999999</v>
      </c>
      <c r="P17" s="1">
        <v>0</v>
      </c>
      <c r="Q17" s="1">
        <v>1.00084255</v>
      </c>
      <c r="R17" s="1">
        <v>1.03132435</v>
      </c>
      <c r="S17" s="1">
        <v>0.98061274999999992</v>
      </c>
      <c r="T17" s="1">
        <v>1.0092032</v>
      </c>
      <c r="U17" s="1">
        <v>1.0333395999999999</v>
      </c>
      <c r="V17" s="1">
        <v>0.96532535000000008</v>
      </c>
      <c r="W17" s="1">
        <v>0.82784615000000006</v>
      </c>
      <c r="X17" s="1">
        <v>1.0023813000000001</v>
      </c>
      <c r="Y17" s="1">
        <v>1.0421637000000001</v>
      </c>
      <c r="Z17" s="1">
        <v>0.98042669999999998</v>
      </c>
    </row>
    <row r="18" spans="1:26" x14ac:dyDescent="0.25">
      <c r="A18" s="3" t="s">
        <v>103</v>
      </c>
      <c r="B18" s="2" t="s">
        <v>93</v>
      </c>
      <c r="C18" s="1">
        <v>1.841185E-2</v>
      </c>
      <c r="D18" s="1">
        <v>0.88838280000000003</v>
      </c>
      <c r="E18" s="1">
        <v>0.88801229999999998</v>
      </c>
      <c r="F18" s="1">
        <v>0.88692104999999999</v>
      </c>
      <c r="G18" s="1">
        <v>0.88742805000000002</v>
      </c>
      <c r="H18" s="1">
        <v>0.99875559999999997</v>
      </c>
      <c r="I18" s="1">
        <v>0.88430414999999996</v>
      </c>
      <c r="J18" s="1">
        <v>1.89905E-2</v>
      </c>
      <c r="K18" s="1">
        <v>0.91053044999999999</v>
      </c>
      <c r="L18" s="1">
        <v>0.90142155000000002</v>
      </c>
      <c r="M18" s="1">
        <v>0.88771345000000002</v>
      </c>
      <c r="N18" s="1">
        <v>0.8852122</v>
      </c>
      <c r="O18" s="1">
        <v>0.99965094999999993</v>
      </c>
      <c r="P18" s="1">
        <v>1.0049306</v>
      </c>
      <c r="Q18" s="1">
        <v>0</v>
      </c>
      <c r="R18" s="1">
        <v>0.91396560000000004</v>
      </c>
      <c r="S18" s="1">
        <v>0.93046665000000006</v>
      </c>
      <c r="T18" s="1">
        <v>0.8874881</v>
      </c>
      <c r="U18" s="1">
        <v>0.88734044999999995</v>
      </c>
      <c r="V18" s="1">
        <v>0.88426424999999997</v>
      </c>
      <c r="W18" s="1">
        <v>0.99016914999999994</v>
      </c>
      <c r="X18" s="1">
        <v>1.8677249999999999E-2</v>
      </c>
      <c r="Y18" s="1">
        <v>0.89256504999999997</v>
      </c>
      <c r="Z18" s="1">
        <v>0.9060433</v>
      </c>
    </row>
    <row r="19" spans="1:26" x14ac:dyDescent="0.25">
      <c r="A19" s="3" t="s">
        <v>104</v>
      </c>
      <c r="B19" s="2" t="s">
        <v>94</v>
      </c>
      <c r="C19" s="1">
        <v>0.90166190000000002</v>
      </c>
      <c r="D19" s="1">
        <v>1.8368200000000001E-2</v>
      </c>
      <c r="E19" s="1">
        <v>0.91714045</v>
      </c>
      <c r="F19" s="1">
        <v>0.9380349</v>
      </c>
      <c r="G19" s="1">
        <v>0.92151534999999996</v>
      </c>
      <c r="H19" s="1">
        <v>1.0458118999999999</v>
      </c>
      <c r="I19" s="1">
        <v>0.92670230000000009</v>
      </c>
      <c r="J19" s="1">
        <v>0.94146810000000003</v>
      </c>
      <c r="K19" s="1">
        <v>0.21302854999999998</v>
      </c>
      <c r="L19" s="1">
        <v>0.94572790000000007</v>
      </c>
      <c r="M19" s="1">
        <v>0.89869069999999995</v>
      </c>
      <c r="N19" s="1">
        <v>0.88918589999999997</v>
      </c>
      <c r="O19" s="1">
        <v>1.0521766000000001</v>
      </c>
      <c r="P19" s="1">
        <v>1.02802265</v>
      </c>
      <c r="Q19" s="1">
        <v>0.91063105</v>
      </c>
      <c r="R19" s="1">
        <v>0</v>
      </c>
      <c r="S19" s="1">
        <v>0.90325940000000005</v>
      </c>
      <c r="T19" s="1">
        <v>0.89364145000000006</v>
      </c>
      <c r="U19" s="1">
        <v>0.91890490000000002</v>
      </c>
      <c r="V19" s="1">
        <v>0.90356894999999993</v>
      </c>
      <c r="W19" s="1">
        <v>0.99587404999999996</v>
      </c>
      <c r="X19" s="1">
        <v>0.90751994999999996</v>
      </c>
      <c r="Y19" s="1">
        <v>2.3892300000000002E-2</v>
      </c>
      <c r="Z19" s="1">
        <v>0.94549360000000005</v>
      </c>
    </row>
    <row r="20" spans="1:26" x14ac:dyDescent="0.25">
      <c r="A20" s="3" t="s">
        <v>105</v>
      </c>
      <c r="B20" s="2" t="s">
        <v>95</v>
      </c>
      <c r="C20" s="1">
        <v>0.90432424999999994</v>
      </c>
      <c r="D20" s="1">
        <v>0.97357450000000001</v>
      </c>
      <c r="E20" s="1">
        <v>3.3482699999999997E-2</v>
      </c>
      <c r="F20" s="1">
        <v>0.90197649999999996</v>
      </c>
      <c r="G20" s="1">
        <v>0.92819150000000006</v>
      </c>
      <c r="H20" s="1">
        <v>1.02456985</v>
      </c>
      <c r="I20" s="1">
        <v>0.88974534999999999</v>
      </c>
      <c r="J20" s="1">
        <v>0.91156205000000001</v>
      </c>
      <c r="K20" s="1">
        <v>0.99235355000000003</v>
      </c>
      <c r="L20" s="1">
        <v>2.88991E-2</v>
      </c>
      <c r="M20" s="1">
        <v>0.92427970000000004</v>
      </c>
      <c r="N20" s="1">
        <v>0.92011584999999996</v>
      </c>
      <c r="O20" s="1">
        <v>0.97757209999999994</v>
      </c>
      <c r="P20" s="1">
        <v>0.98480809999999996</v>
      </c>
      <c r="Q20" s="1">
        <v>0.92959775</v>
      </c>
      <c r="R20" s="1">
        <v>0.90836874999999995</v>
      </c>
      <c r="S20" s="1">
        <v>0</v>
      </c>
      <c r="T20" s="1">
        <v>0.91220655000000006</v>
      </c>
      <c r="U20" s="1">
        <v>0.92839084999999999</v>
      </c>
      <c r="V20" s="1">
        <v>0.89418025000000001</v>
      </c>
      <c r="W20" s="1">
        <v>0.98330580000000001</v>
      </c>
      <c r="X20" s="1">
        <v>0.93001470000000008</v>
      </c>
      <c r="Y20" s="1">
        <v>0.96014284999999999</v>
      </c>
      <c r="Z20" s="1">
        <v>2.6255149999999998E-2</v>
      </c>
    </row>
    <row r="21" spans="1:26" x14ac:dyDescent="0.25">
      <c r="A21" s="3" t="s">
        <v>106</v>
      </c>
      <c r="B21" s="2" t="s">
        <v>96</v>
      </c>
      <c r="C21" s="1">
        <v>0.88523590000000008</v>
      </c>
      <c r="D21" s="1">
        <v>0.91519250000000008</v>
      </c>
      <c r="E21" s="1">
        <v>0.89390575000000005</v>
      </c>
      <c r="F21" s="1">
        <v>1.8488150000000002E-2</v>
      </c>
      <c r="G21" s="1">
        <v>0.88764240000000005</v>
      </c>
      <c r="H21" s="1">
        <v>1.0140179499999999</v>
      </c>
      <c r="I21" s="1">
        <v>0.88492799999999994</v>
      </c>
      <c r="J21" s="1">
        <v>0.88555040000000007</v>
      </c>
      <c r="K21" s="1">
        <v>0.90561225000000001</v>
      </c>
      <c r="L21" s="1">
        <v>0.93196645</v>
      </c>
      <c r="M21" s="1">
        <v>1.8581750000000001E-2</v>
      </c>
      <c r="N21" s="1">
        <v>0.88850929999999995</v>
      </c>
      <c r="O21" s="1">
        <v>1.0499222500000001</v>
      </c>
      <c r="P21" s="1">
        <v>1.0012477500000001</v>
      </c>
      <c r="Q21" s="1">
        <v>0.88547399999999998</v>
      </c>
      <c r="R21" s="1">
        <v>0.89276694999999995</v>
      </c>
      <c r="S21" s="1">
        <v>0.91020889999999999</v>
      </c>
      <c r="T21" s="1">
        <v>0</v>
      </c>
      <c r="U21" s="1">
        <v>0.88876734999999996</v>
      </c>
      <c r="V21" s="1">
        <v>0.88829709999999995</v>
      </c>
      <c r="W21" s="1">
        <v>1.00404085</v>
      </c>
      <c r="X21" s="1">
        <v>0.88586070000000006</v>
      </c>
      <c r="Y21" s="1">
        <v>0.90285470000000001</v>
      </c>
      <c r="Z21" s="1">
        <v>0.9132382</v>
      </c>
    </row>
    <row r="22" spans="1:26" x14ac:dyDescent="0.25">
      <c r="A22" s="3" t="s">
        <v>107</v>
      </c>
      <c r="B22" s="2" t="s">
        <v>97</v>
      </c>
      <c r="C22" s="1">
        <v>0.88636494999999993</v>
      </c>
      <c r="D22" s="1">
        <v>0.88871600000000006</v>
      </c>
      <c r="E22" s="1">
        <v>0.89974835000000009</v>
      </c>
      <c r="F22" s="1">
        <v>0.88891555</v>
      </c>
      <c r="G22" s="1">
        <v>1.8700250000000002E-2</v>
      </c>
      <c r="H22" s="1">
        <v>1.0004483500000001</v>
      </c>
      <c r="I22" s="1">
        <v>0.88500869999999998</v>
      </c>
      <c r="J22" s="1">
        <v>0.88523770000000002</v>
      </c>
      <c r="K22" s="1">
        <v>0.91237915000000003</v>
      </c>
      <c r="L22" s="1">
        <v>0.91371740000000001</v>
      </c>
      <c r="M22" s="1">
        <v>0.88882210000000006</v>
      </c>
      <c r="N22" s="1">
        <v>1.8525600000000003E-2</v>
      </c>
      <c r="O22" s="1">
        <v>1.0103114500000001</v>
      </c>
      <c r="P22" s="1">
        <v>1.03129315</v>
      </c>
      <c r="Q22" s="1">
        <v>0.88560329999999998</v>
      </c>
      <c r="R22" s="1">
        <v>0.92573069999999991</v>
      </c>
      <c r="S22" s="1">
        <v>0.92501500000000003</v>
      </c>
      <c r="T22" s="1">
        <v>0.88863550000000002</v>
      </c>
      <c r="U22" s="1">
        <v>0</v>
      </c>
      <c r="V22" s="1">
        <v>0.88493379999999999</v>
      </c>
      <c r="W22" s="1">
        <v>1.0181857000000001</v>
      </c>
      <c r="X22" s="1">
        <v>0.88524044999999996</v>
      </c>
      <c r="Y22" s="1">
        <v>0.90176129999999999</v>
      </c>
      <c r="Z22" s="1">
        <v>0.92279865000000005</v>
      </c>
    </row>
    <row r="23" spans="1:26" x14ac:dyDescent="0.25">
      <c r="A23" s="3" t="s">
        <v>108</v>
      </c>
      <c r="B23" s="2" t="s">
        <v>98</v>
      </c>
      <c r="C23" s="1">
        <v>0.92449975000000006</v>
      </c>
      <c r="D23" s="1">
        <v>0.93290099999999998</v>
      </c>
      <c r="E23" s="1">
        <v>0.963897</v>
      </c>
      <c r="F23" s="1">
        <v>0.88724910000000001</v>
      </c>
      <c r="G23" s="1">
        <v>0.88712040000000003</v>
      </c>
      <c r="H23" s="1">
        <v>7.7445750000000008E-2</v>
      </c>
      <c r="I23" s="1">
        <v>0.88504735000000001</v>
      </c>
      <c r="J23" s="1">
        <v>0.88570704999999994</v>
      </c>
      <c r="K23" s="1">
        <v>0.89291575000000001</v>
      </c>
      <c r="L23" s="1">
        <v>0.88802329999999996</v>
      </c>
      <c r="M23" s="1">
        <v>0.88821719999999993</v>
      </c>
      <c r="N23" s="1">
        <v>0.88788010000000006</v>
      </c>
      <c r="O23" s="1">
        <v>8.5094200000000009E-2</v>
      </c>
      <c r="P23" s="1">
        <v>0.96706760000000003</v>
      </c>
      <c r="Q23" s="1">
        <v>0.88601850000000004</v>
      </c>
      <c r="R23" s="1">
        <v>0.89936425000000009</v>
      </c>
      <c r="S23" s="1">
        <v>0.89151594999999995</v>
      </c>
      <c r="T23" s="1">
        <v>0.88705015000000009</v>
      </c>
      <c r="U23" s="1">
        <v>0.88794339999999994</v>
      </c>
      <c r="V23" s="1">
        <v>0</v>
      </c>
      <c r="W23" s="1">
        <v>0.97013775000000002</v>
      </c>
      <c r="X23" s="1">
        <v>0.8875729</v>
      </c>
      <c r="Y23" s="1">
        <v>0.93322269999999996</v>
      </c>
      <c r="Z23" s="1">
        <v>0.9377569</v>
      </c>
    </row>
    <row r="24" spans="1:26" x14ac:dyDescent="0.25">
      <c r="A24" s="3" t="s">
        <v>109</v>
      </c>
      <c r="B24" s="2" t="s">
        <v>99</v>
      </c>
      <c r="C24" s="1">
        <v>0.98762070000000002</v>
      </c>
      <c r="D24" s="1">
        <v>1.1354796999999999</v>
      </c>
      <c r="E24" s="1">
        <v>1.08262825</v>
      </c>
      <c r="F24" s="1">
        <v>1.0057139500000001</v>
      </c>
      <c r="G24" s="1">
        <v>0.97204469999999998</v>
      </c>
      <c r="H24" s="1">
        <v>1.0739938499999999</v>
      </c>
      <c r="I24" s="1">
        <v>7.3538550000000008E-2</v>
      </c>
      <c r="J24" s="1">
        <v>0.97303129999999993</v>
      </c>
      <c r="K24" s="1">
        <v>0.97970774999999999</v>
      </c>
      <c r="L24" s="1">
        <v>1.0598256500000001</v>
      </c>
      <c r="M24" s="1">
        <v>1.0438059500000001</v>
      </c>
      <c r="N24" s="1">
        <v>1.0096486</v>
      </c>
      <c r="O24" s="1">
        <v>1.1402836000000001</v>
      </c>
      <c r="P24" s="1">
        <v>0.83064260000000001</v>
      </c>
      <c r="Q24" s="1">
        <v>0.9824659</v>
      </c>
      <c r="R24" s="1">
        <v>0.99560585000000001</v>
      </c>
      <c r="S24" s="1">
        <v>0.98128704999999994</v>
      </c>
      <c r="T24" s="1">
        <v>1.0093493499999999</v>
      </c>
      <c r="U24" s="1">
        <v>1.0232721499999999</v>
      </c>
      <c r="V24" s="1">
        <v>0.96530150000000003</v>
      </c>
      <c r="W24" s="1">
        <v>0</v>
      </c>
      <c r="X24" s="1">
        <v>0.97897235000000005</v>
      </c>
      <c r="Y24" s="1">
        <v>1.07275185</v>
      </c>
      <c r="Z24" s="1">
        <v>1.1081455</v>
      </c>
    </row>
    <row r="25" spans="1:26" x14ac:dyDescent="0.25">
      <c r="A25" s="3" t="s">
        <v>103</v>
      </c>
      <c r="B25" s="2" t="s">
        <v>100</v>
      </c>
      <c r="C25" s="1">
        <v>1.8630849999999997E-2</v>
      </c>
      <c r="D25" s="1">
        <v>0.89764240000000006</v>
      </c>
      <c r="E25" s="1">
        <v>0.89658045000000008</v>
      </c>
      <c r="F25" s="1">
        <v>0.88571085000000005</v>
      </c>
      <c r="G25" s="1">
        <v>0.88611039999999996</v>
      </c>
      <c r="H25" s="1">
        <v>0.97544824999999991</v>
      </c>
      <c r="I25" s="1">
        <v>0.88436139999999996</v>
      </c>
      <c r="J25" s="1">
        <v>1.8840549999999998E-2</v>
      </c>
      <c r="K25" s="1">
        <v>0.90459920000000005</v>
      </c>
      <c r="L25" s="1">
        <v>0.93412899999999999</v>
      </c>
      <c r="M25" s="1">
        <v>0.8880131</v>
      </c>
      <c r="N25" s="1">
        <v>0.88663935000000005</v>
      </c>
      <c r="O25" s="1">
        <v>1.0235229499999998</v>
      </c>
      <c r="P25" s="1">
        <v>0.99853205</v>
      </c>
      <c r="Q25" s="1">
        <v>1.86622E-2</v>
      </c>
      <c r="R25" s="1">
        <v>0.91499839999999999</v>
      </c>
      <c r="S25" s="1">
        <v>0.93048464999999991</v>
      </c>
      <c r="T25" s="1">
        <v>0.88745485000000002</v>
      </c>
      <c r="U25" s="1">
        <v>0.8870619500000001</v>
      </c>
      <c r="V25" s="1">
        <v>0.88487055000000003</v>
      </c>
      <c r="W25" s="1">
        <v>0.97924005000000003</v>
      </c>
      <c r="X25" s="1">
        <v>0</v>
      </c>
      <c r="Y25" s="1">
        <v>0.89332449999999997</v>
      </c>
      <c r="Z25" s="1">
        <v>0.94148965000000007</v>
      </c>
    </row>
    <row r="26" spans="1:26" x14ac:dyDescent="0.25">
      <c r="A26" s="3" t="s">
        <v>104</v>
      </c>
      <c r="B26" s="2" t="s">
        <v>101</v>
      </c>
      <c r="C26" s="1">
        <v>0.93629644999999995</v>
      </c>
      <c r="D26" s="1">
        <v>2.838825E-2</v>
      </c>
      <c r="E26" s="1">
        <v>0.94786999999999999</v>
      </c>
      <c r="F26" s="1">
        <v>0.93130350000000006</v>
      </c>
      <c r="G26" s="1">
        <v>0.92045440000000001</v>
      </c>
      <c r="H26" s="1">
        <v>1.0821597500000002</v>
      </c>
      <c r="I26" s="1">
        <v>0.91849029999999998</v>
      </c>
      <c r="J26" s="1">
        <v>0.88932540000000004</v>
      </c>
      <c r="K26" s="1">
        <v>3.2762399999999997E-2</v>
      </c>
      <c r="L26" s="1">
        <v>0.93352564999999998</v>
      </c>
      <c r="M26" s="1">
        <v>0.89884340000000007</v>
      </c>
      <c r="N26" s="1">
        <v>0.89993455</v>
      </c>
      <c r="O26" s="1">
        <v>1.1045731000000001</v>
      </c>
      <c r="P26" s="1">
        <v>1.0494908999999999</v>
      </c>
      <c r="Q26" s="1">
        <v>0.88960919999999999</v>
      </c>
      <c r="R26" s="1">
        <v>2.3888449999999999E-2</v>
      </c>
      <c r="S26" s="1">
        <v>0.9628428</v>
      </c>
      <c r="T26" s="1">
        <v>0.90451104999999998</v>
      </c>
      <c r="U26" s="1">
        <v>0.89463674999999998</v>
      </c>
      <c r="V26" s="1">
        <v>0.92052540000000005</v>
      </c>
      <c r="W26" s="1">
        <v>1.06395365</v>
      </c>
      <c r="X26" s="1">
        <v>0.89029500000000006</v>
      </c>
      <c r="Y26" s="1">
        <v>0</v>
      </c>
      <c r="Z26" s="1">
        <v>0.99219060000000003</v>
      </c>
    </row>
    <row r="27" spans="1:26" x14ac:dyDescent="0.25">
      <c r="A27" s="3" t="s">
        <v>105</v>
      </c>
      <c r="B27" s="2" t="s">
        <v>102</v>
      </c>
      <c r="C27" s="1">
        <v>0.88884864999999991</v>
      </c>
      <c r="D27" s="1">
        <v>0.92729284999999995</v>
      </c>
      <c r="E27" s="1">
        <v>3.8286100000000003E-2</v>
      </c>
      <c r="F27" s="1">
        <v>0.91264665</v>
      </c>
      <c r="G27" s="1">
        <v>0.90648470000000003</v>
      </c>
      <c r="H27" s="1">
        <v>1.02324675</v>
      </c>
      <c r="I27" s="1">
        <v>0.89173934999999993</v>
      </c>
      <c r="J27" s="1">
        <v>0.89612650000000005</v>
      </c>
      <c r="K27" s="1">
        <v>0.94205760000000005</v>
      </c>
      <c r="L27" s="1">
        <v>1.9188400000000001E-2</v>
      </c>
      <c r="M27" s="1">
        <v>0.91825960000000006</v>
      </c>
      <c r="N27" s="1">
        <v>0.92280459999999997</v>
      </c>
      <c r="O27" s="1">
        <v>1.00198375</v>
      </c>
      <c r="P27" s="1">
        <v>0.9780991</v>
      </c>
      <c r="Q27" s="1">
        <v>0.89911055000000006</v>
      </c>
      <c r="R27" s="1">
        <v>0.94412430000000003</v>
      </c>
      <c r="S27" s="1">
        <v>2.4098649999999999E-2</v>
      </c>
      <c r="T27" s="1">
        <v>0.9104173499999999</v>
      </c>
      <c r="U27" s="1">
        <v>0.91935585000000009</v>
      </c>
      <c r="V27" s="1">
        <v>0.94045090000000009</v>
      </c>
      <c r="W27" s="1">
        <v>1.1053697</v>
      </c>
      <c r="X27" s="1">
        <v>0.92331730000000001</v>
      </c>
      <c r="Y27" s="1">
        <v>0.9861572999999999</v>
      </c>
      <c r="Z27" s="1">
        <v>0</v>
      </c>
    </row>
    <row r="31" spans="1:26" x14ac:dyDescent="0.25">
      <c r="B31" s="6" t="s">
        <v>118</v>
      </c>
      <c r="C31" s="6"/>
    </row>
    <row r="32" spans="1:26" x14ac:dyDescent="0.25">
      <c r="B32" s="6"/>
      <c r="C32" s="6"/>
    </row>
    <row r="33" spans="1:28" x14ac:dyDescent="0.25">
      <c r="A33" s="3" t="s">
        <v>103</v>
      </c>
      <c r="B33" s="2" t="s">
        <v>79</v>
      </c>
      <c r="C33" s="1">
        <v>0</v>
      </c>
      <c r="D33" s="1">
        <v>0.88512694999999997</v>
      </c>
      <c r="E33" s="1">
        <v>0.88653779999999993</v>
      </c>
      <c r="F33" s="1">
        <v>0.88700029999999996</v>
      </c>
      <c r="G33" s="1">
        <v>0.88717495000000002</v>
      </c>
      <c r="H33" s="1">
        <v>0.89063694999999998</v>
      </c>
      <c r="I33" s="1">
        <v>0.88986874999999999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8" x14ac:dyDescent="0.25">
      <c r="A34" s="3" t="s">
        <v>104</v>
      </c>
      <c r="B34" s="2" t="s">
        <v>80</v>
      </c>
      <c r="C34" s="1">
        <v>0.88434100000000004</v>
      </c>
      <c r="D34" s="1">
        <v>0</v>
      </c>
      <c r="E34" s="1">
        <v>0.88821099999999997</v>
      </c>
      <c r="F34" s="1">
        <v>0.88822105000000007</v>
      </c>
      <c r="G34" s="1">
        <v>0.88840815000000006</v>
      </c>
      <c r="H34" s="1">
        <v>0.88560964999999991</v>
      </c>
      <c r="I34" s="1">
        <v>0.88565099999999997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8" x14ac:dyDescent="0.25">
      <c r="A35" s="3" t="s">
        <v>105</v>
      </c>
      <c r="B35" s="2" t="s">
        <v>81</v>
      </c>
      <c r="C35" s="1">
        <v>0.88672065</v>
      </c>
      <c r="D35" s="1">
        <v>0.88819435000000002</v>
      </c>
      <c r="E35" s="1">
        <v>0</v>
      </c>
      <c r="F35" s="1">
        <v>0.88837834999999998</v>
      </c>
      <c r="G35" s="1">
        <v>0.88867560000000001</v>
      </c>
      <c r="H35" s="1">
        <v>0.88665474999999994</v>
      </c>
      <c r="I35" s="1">
        <v>0.88620659999999996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8" x14ac:dyDescent="0.25">
      <c r="A36" s="3" t="s">
        <v>106</v>
      </c>
      <c r="B36" s="2" t="s">
        <v>82</v>
      </c>
      <c r="C36" s="1">
        <v>0.8847488</v>
      </c>
      <c r="D36" s="1">
        <v>0.88834069999999998</v>
      </c>
      <c r="E36" s="1">
        <v>0.88853859999999996</v>
      </c>
      <c r="F36" s="1">
        <v>0</v>
      </c>
      <c r="G36" s="1">
        <v>0.88820460000000001</v>
      </c>
      <c r="H36" s="1">
        <v>0.88500420000000002</v>
      </c>
      <c r="I36" s="1">
        <v>0.88418759999999996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8" x14ac:dyDescent="0.25">
      <c r="A37" s="3" t="s">
        <v>107</v>
      </c>
      <c r="B37" s="2" t="s">
        <v>83</v>
      </c>
      <c r="C37" s="1">
        <v>0.88701570000000007</v>
      </c>
      <c r="D37" s="1">
        <v>0.88867010000000002</v>
      </c>
      <c r="E37" s="1">
        <v>0.88934084999999996</v>
      </c>
      <c r="F37" s="1">
        <v>0.88868235000000007</v>
      </c>
      <c r="G37" s="1">
        <v>0</v>
      </c>
      <c r="H37" s="1">
        <v>0.88461325000000002</v>
      </c>
      <c r="I37" s="1">
        <v>0.88712940000000007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8" x14ac:dyDescent="0.25">
      <c r="A38" s="3" t="s">
        <v>108</v>
      </c>
      <c r="B38" s="2" t="s">
        <v>84</v>
      </c>
      <c r="C38" s="1">
        <v>0.88600849999999998</v>
      </c>
      <c r="D38" s="1">
        <v>0.88726464999999999</v>
      </c>
      <c r="E38" s="1">
        <v>0.88842920000000003</v>
      </c>
      <c r="F38" s="1">
        <v>0.88615369999999993</v>
      </c>
      <c r="G38" s="1">
        <v>0.88838704999999996</v>
      </c>
      <c r="H38" s="1">
        <v>0</v>
      </c>
      <c r="I38" s="1">
        <v>0.88942515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8" x14ac:dyDescent="0.25">
      <c r="A39" s="3" t="s">
        <v>109</v>
      </c>
      <c r="B39" s="2" t="s">
        <v>85</v>
      </c>
      <c r="C39" s="1">
        <v>0.89114939999999998</v>
      </c>
      <c r="D39" s="1">
        <v>0.88806104999999991</v>
      </c>
      <c r="E39" s="1">
        <v>0.88831924999999989</v>
      </c>
      <c r="F39" s="1">
        <v>0.88770545000000001</v>
      </c>
      <c r="G39" s="1">
        <v>0.88911614999999999</v>
      </c>
      <c r="H39" s="1">
        <v>0.88809549999999993</v>
      </c>
      <c r="I39" s="1">
        <v>0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2" spans="1:28" x14ac:dyDescent="0.25">
      <c r="C42" s="9" t="s">
        <v>103</v>
      </c>
      <c r="D42" s="9" t="s">
        <v>103</v>
      </c>
      <c r="E42" s="9" t="s">
        <v>103</v>
      </c>
      <c r="F42" s="9" t="s">
        <v>103</v>
      </c>
      <c r="G42" s="9" t="s">
        <v>104</v>
      </c>
      <c r="H42" s="9" t="s">
        <v>104</v>
      </c>
      <c r="I42" s="9" t="s">
        <v>104</v>
      </c>
      <c r="J42" s="9" t="s">
        <v>104</v>
      </c>
      <c r="K42" s="9" t="s">
        <v>105</v>
      </c>
      <c r="L42" s="9" t="s">
        <v>105</v>
      </c>
      <c r="M42" s="9" t="s">
        <v>105</v>
      </c>
      <c r="N42" s="9" t="s">
        <v>105</v>
      </c>
      <c r="O42" s="9" t="s">
        <v>106</v>
      </c>
      <c r="P42" s="9" t="s">
        <v>106</v>
      </c>
      <c r="Q42" s="9" t="s">
        <v>106</v>
      </c>
      <c r="R42" s="9" t="s">
        <v>106</v>
      </c>
      <c r="S42" s="9" t="s">
        <v>107</v>
      </c>
      <c r="T42" s="9" t="s">
        <v>107</v>
      </c>
      <c r="U42" s="9" t="s">
        <v>107</v>
      </c>
      <c r="V42" s="9" t="s">
        <v>107</v>
      </c>
      <c r="W42" s="9" t="s">
        <v>108</v>
      </c>
      <c r="X42" s="9" t="s">
        <v>108</v>
      </c>
      <c r="Y42" s="9" t="s">
        <v>109</v>
      </c>
      <c r="Z42" s="9" t="s">
        <v>109</v>
      </c>
      <c r="AA42" s="9" t="s">
        <v>122</v>
      </c>
      <c r="AB42" s="9" t="s">
        <v>123</v>
      </c>
    </row>
    <row r="43" spans="1:28" x14ac:dyDescent="0.25">
      <c r="C43" s="9" t="s">
        <v>120</v>
      </c>
      <c r="D43" s="3" t="s">
        <v>79</v>
      </c>
      <c r="E43" s="3" t="s">
        <v>80</v>
      </c>
      <c r="F43" s="3" t="s">
        <v>81</v>
      </c>
      <c r="G43" s="3" t="s">
        <v>82</v>
      </c>
      <c r="H43" s="3" t="s">
        <v>83</v>
      </c>
      <c r="I43" s="3" t="s">
        <v>84</v>
      </c>
      <c r="J43" s="3" t="s">
        <v>85</v>
      </c>
      <c r="K43" s="3" t="s">
        <v>86</v>
      </c>
      <c r="L43" s="3" t="s">
        <v>87</v>
      </c>
      <c r="M43" s="3" t="s">
        <v>88</v>
      </c>
      <c r="N43" s="3" t="s">
        <v>89</v>
      </c>
      <c r="O43" s="3" t="s">
        <v>90</v>
      </c>
      <c r="P43" s="3" t="s">
        <v>91</v>
      </c>
      <c r="Q43" s="3" t="s">
        <v>92</v>
      </c>
      <c r="R43" s="3" t="s">
        <v>93</v>
      </c>
      <c r="S43" s="3" t="s">
        <v>94</v>
      </c>
      <c r="T43" s="3" t="s">
        <v>95</v>
      </c>
      <c r="U43" s="3" t="s">
        <v>96</v>
      </c>
      <c r="V43" s="3" t="s">
        <v>97</v>
      </c>
      <c r="W43" s="3" t="s">
        <v>98</v>
      </c>
      <c r="X43" s="3" t="s">
        <v>99</v>
      </c>
      <c r="Y43" s="3" t="s">
        <v>100</v>
      </c>
      <c r="Z43" s="3" t="s">
        <v>101</v>
      </c>
      <c r="AA43" s="3" t="s">
        <v>102</v>
      </c>
      <c r="AB43" s="3" t="s">
        <v>121</v>
      </c>
    </row>
    <row r="44" spans="1:28" x14ac:dyDescent="0.25">
      <c r="A44" s="8" t="s">
        <v>103</v>
      </c>
      <c r="B44" s="8" t="s">
        <v>120</v>
      </c>
      <c r="C44" s="1">
        <f>('Send comm performance'!C42+'Recv comm performance'!C42)/2</f>
        <v>0</v>
      </c>
      <c r="D44" s="1">
        <f>('Send comm performance'!D42+'Recv comm performance'!D42)/2</f>
        <v>2.1366450000000002E-2</v>
      </c>
      <c r="E44" s="1">
        <f>('Send comm performance'!E42+'Recv comm performance'!E42)/2</f>
        <v>1.8218999999999999E-2</v>
      </c>
      <c r="F44" s="1">
        <f>('Send comm performance'!F42+'Recv comm performance'!F42)/2</f>
        <v>1.84853E-2</v>
      </c>
      <c r="G44" s="1">
        <f>('Send comm performance'!G42+'Recv comm performance'!G42)/2</f>
        <v>0.89417195000000005</v>
      </c>
      <c r="H44" s="1">
        <f>('Send comm performance'!H42+'Recv comm performance'!H42)/2</f>
        <v>0.89718865000000003</v>
      </c>
      <c r="I44" s="1">
        <f>('Send comm performance'!I42+'Recv comm performance'!I42)/2</f>
        <v>0.92943050000000005</v>
      </c>
      <c r="J44" s="1">
        <f>('Send comm performance'!J42+'Recv comm performance'!J42)/2</f>
        <v>0.89138794999999993</v>
      </c>
      <c r="K44" s="1">
        <f>('Send comm performance'!K42+'Recv comm performance'!K42)/2</f>
        <v>0.90492759999999994</v>
      </c>
      <c r="L44" s="1">
        <f>('Send comm performance'!L42+'Recv comm performance'!L42)/2</f>
        <v>0.9316688500000001</v>
      </c>
      <c r="M44" s="1">
        <f>('Send comm performance'!M42+'Recv comm performance'!M42)/2</f>
        <v>0.89926669999999997</v>
      </c>
      <c r="N44" s="1">
        <f>('Send comm performance'!N42+'Recv comm performance'!N42)/2</f>
        <v>0.89310335000000007</v>
      </c>
      <c r="O44" s="1">
        <f>('Send comm performance'!O42+'Recv comm performance'!O42)/2</f>
        <v>0.93880810000000003</v>
      </c>
      <c r="P44" s="1">
        <f>('Send comm performance'!P42+'Recv comm performance'!P42)/2</f>
        <v>0.89154339999999999</v>
      </c>
      <c r="Q44" s="1">
        <f>('Send comm performance'!Q42+'Recv comm performance'!Q42)/2</f>
        <v>0.89506635000000001</v>
      </c>
      <c r="R44" s="1">
        <f>('Send comm performance'!R42+'Recv comm performance'!R42)/2</f>
        <v>0.93466450000000001</v>
      </c>
      <c r="S44" s="1">
        <f>('Send comm performance'!S42+'Recv comm performance'!S42)/2</f>
        <v>0.88935649999999999</v>
      </c>
      <c r="T44" s="1">
        <f>('Send comm performance'!T42+'Recv comm performance'!T42)/2</f>
        <v>0.89710129999999999</v>
      </c>
      <c r="U44" s="1">
        <f>('Send comm performance'!U42+'Recv comm performance'!U42)/2</f>
        <v>0.8995862</v>
      </c>
      <c r="V44" s="1">
        <f>('Send comm performance'!V42+'Recv comm performance'!V42)/2</f>
        <v>0.92040040000000001</v>
      </c>
      <c r="W44" s="1">
        <f>('Send comm performance'!W42+'Recv comm performance'!W42)/2</f>
        <v>0.88517249999999992</v>
      </c>
      <c r="X44" s="1">
        <f>('Send comm performance'!X42+'Recv comm performance'!X42)/2</f>
        <v>1.0482388499999999</v>
      </c>
      <c r="Y44" s="1">
        <f>('Send comm performance'!Y42+'Recv comm performance'!Y42)/2</f>
        <v>0.92113354999999997</v>
      </c>
      <c r="Z44" s="1">
        <f>('Send comm performance'!Z42+'Recv comm performance'!Z42)/2</f>
        <v>1.0541829</v>
      </c>
      <c r="AA44" s="1">
        <f>('Send comm performance'!AA42+'Recv comm performance'!AA42)/2</f>
        <v>1.6166911000000002</v>
      </c>
      <c r="AB44" s="1">
        <f>('Send comm performance'!AB42+'Recv comm performance'!AB42)/2</f>
        <v>1.3858812999999999</v>
      </c>
    </row>
    <row r="45" spans="1:28" x14ac:dyDescent="0.25">
      <c r="A45" s="8" t="s">
        <v>103</v>
      </c>
      <c r="B45" s="8" t="s">
        <v>79</v>
      </c>
      <c r="C45" s="1">
        <f>('Send comm performance'!C43+'Recv comm performance'!C43)/2</f>
        <v>2.1381000000000001E-2</v>
      </c>
      <c r="D45" s="1">
        <f>('Send comm performance'!D43+'Recv comm performance'!D43)/2</f>
        <v>0</v>
      </c>
      <c r="E45" s="1">
        <f>('Send comm performance'!E43+'Recv comm performance'!E43)/2</f>
        <v>1.87844E-2</v>
      </c>
      <c r="F45" s="1">
        <f>('Send comm performance'!F43+'Recv comm performance'!F43)/2</f>
        <v>1.8904999999999998E-2</v>
      </c>
      <c r="G45" s="1">
        <f>('Send comm performance'!G43+'Recv comm performance'!G43)/2</f>
        <v>0.93063269999999998</v>
      </c>
      <c r="H45" s="1">
        <f>('Send comm performance'!H43+'Recv comm performance'!H43)/2</f>
        <v>0.89929440000000005</v>
      </c>
      <c r="I45" s="1">
        <f>('Send comm performance'!I43+'Recv comm performance'!I43)/2</f>
        <v>0.89577505000000002</v>
      </c>
      <c r="J45" s="1">
        <f>('Send comm performance'!J43+'Recv comm performance'!J43)/2</f>
        <v>0.90548574999999998</v>
      </c>
      <c r="K45" s="1">
        <f>('Send comm performance'!K43+'Recv comm performance'!K43)/2</f>
        <v>0.909246</v>
      </c>
      <c r="L45" s="1">
        <f>('Send comm performance'!L43+'Recv comm performance'!L43)/2</f>
        <v>0.89443074999999994</v>
      </c>
      <c r="M45" s="1">
        <f>('Send comm performance'!M43+'Recv comm performance'!M43)/2</f>
        <v>0.90705754999999999</v>
      </c>
      <c r="N45" s="1">
        <f>('Send comm performance'!N43+'Recv comm performance'!N43)/2</f>
        <v>0.89571794999999998</v>
      </c>
      <c r="O45" s="1">
        <f>('Send comm performance'!O43+'Recv comm performance'!O43)/2</f>
        <v>0.90077745000000009</v>
      </c>
      <c r="P45" s="1">
        <f>('Send comm performance'!P43+'Recv comm performance'!P43)/2</f>
        <v>0.93750095</v>
      </c>
      <c r="Q45" s="1">
        <f>('Send comm performance'!Q43+'Recv comm performance'!Q43)/2</f>
        <v>0.95191099999999995</v>
      </c>
      <c r="R45" s="1">
        <f>('Send comm performance'!R43+'Recv comm performance'!R43)/2</f>
        <v>0.90238149999999995</v>
      </c>
      <c r="S45" s="1">
        <f>('Send comm performance'!S43+'Recv comm performance'!S43)/2</f>
        <v>0.92420780000000002</v>
      </c>
      <c r="T45" s="1">
        <f>('Send comm performance'!T43+'Recv comm performance'!T43)/2</f>
        <v>0.89793480000000003</v>
      </c>
      <c r="U45" s="1">
        <f>('Send comm performance'!U43+'Recv comm performance'!U43)/2</f>
        <v>0.90561295000000008</v>
      </c>
      <c r="V45" s="1">
        <f>('Send comm performance'!V43+'Recv comm performance'!V43)/2</f>
        <v>0.88592540000000009</v>
      </c>
      <c r="W45" s="1">
        <f>('Send comm performance'!W43+'Recv comm performance'!W43)/2</f>
        <v>0.88417314999999996</v>
      </c>
      <c r="X45" s="1">
        <f>('Send comm performance'!X43+'Recv comm performance'!X43)/2</f>
        <v>0.99633409999999989</v>
      </c>
      <c r="Y45" s="1">
        <f>('Send comm performance'!Y43+'Recv comm performance'!Y43)/2</f>
        <v>0.88442430000000005</v>
      </c>
      <c r="Z45" s="1">
        <f>('Send comm performance'!Z43+'Recv comm performance'!Z43)/2</f>
        <v>0.99323914999999996</v>
      </c>
      <c r="AA45" s="1">
        <f>('Send comm performance'!AA43+'Recv comm performance'!AA43)/2</f>
        <v>1.6233591000000001</v>
      </c>
      <c r="AB45" s="1">
        <f>('Send comm performance'!AB43+'Recv comm performance'!AB43)/2</f>
        <v>1.3596015000000001</v>
      </c>
    </row>
    <row r="46" spans="1:28" x14ac:dyDescent="0.25">
      <c r="A46" s="8" t="s">
        <v>103</v>
      </c>
      <c r="B46" s="8" t="s">
        <v>80</v>
      </c>
      <c r="C46" s="1">
        <f>('Send comm performance'!C44+'Recv comm performance'!C44)/2</f>
        <v>1.8437500000000002E-2</v>
      </c>
      <c r="D46" s="1">
        <f>('Send comm performance'!D44+'Recv comm performance'!D44)/2</f>
        <v>1.8770349999999998E-2</v>
      </c>
      <c r="E46" s="1">
        <f>('Send comm performance'!E44+'Recv comm performance'!E44)/2</f>
        <v>0</v>
      </c>
      <c r="F46" s="1">
        <f>('Send comm performance'!F44+'Recv comm performance'!F44)/2</f>
        <v>1.8536799999999999E-2</v>
      </c>
      <c r="G46" s="1">
        <f>('Send comm performance'!G44+'Recv comm performance'!G44)/2</f>
        <v>0.92851875000000006</v>
      </c>
      <c r="H46" s="1">
        <f>('Send comm performance'!H44+'Recv comm performance'!H44)/2</f>
        <v>0.93066300000000002</v>
      </c>
      <c r="I46" s="1">
        <f>('Send comm performance'!I44+'Recv comm performance'!I44)/2</f>
        <v>0.89186454999999998</v>
      </c>
      <c r="J46" s="1">
        <f>('Send comm performance'!J44+'Recv comm performance'!J44)/2</f>
        <v>0.90957905000000006</v>
      </c>
      <c r="K46" s="1">
        <f>('Send comm performance'!K44+'Recv comm performance'!K44)/2</f>
        <v>0.88737320000000008</v>
      </c>
      <c r="L46" s="1">
        <f>('Send comm performance'!L44+'Recv comm performance'!L44)/2</f>
        <v>0.90147770000000005</v>
      </c>
      <c r="M46" s="1">
        <f>('Send comm performance'!M44+'Recv comm performance'!M44)/2</f>
        <v>0.90039089999999999</v>
      </c>
      <c r="N46" s="1">
        <f>('Send comm performance'!N44+'Recv comm performance'!N44)/2</f>
        <v>0.89517985</v>
      </c>
      <c r="O46" s="1">
        <f>('Send comm performance'!O44+'Recv comm performance'!O44)/2</f>
        <v>0.90542549999999999</v>
      </c>
      <c r="P46" s="1">
        <f>('Send comm performance'!P44+'Recv comm performance'!P44)/2</f>
        <v>0.90771970000000002</v>
      </c>
      <c r="Q46" s="1">
        <f>('Send comm performance'!Q44+'Recv comm performance'!Q44)/2</f>
        <v>0.88962889999999994</v>
      </c>
      <c r="R46" s="1">
        <f>('Send comm performance'!R44+'Recv comm performance'!R44)/2</f>
        <v>0.9068582999999999</v>
      </c>
      <c r="S46" s="1">
        <f>('Send comm performance'!S44+'Recv comm performance'!S44)/2</f>
        <v>0.92099715000000004</v>
      </c>
      <c r="T46" s="1">
        <f>('Send comm performance'!T44+'Recv comm performance'!T44)/2</f>
        <v>0.88659194999999991</v>
      </c>
      <c r="U46" s="1">
        <f>('Send comm performance'!U44+'Recv comm performance'!U44)/2</f>
        <v>0.91501224999999997</v>
      </c>
      <c r="V46" s="1">
        <f>('Send comm performance'!V44+'Recv comm performance'!V44)/2</f>
        <v>0.93220685000000003</v>
      </c>
      <c r="W46" s="1">
        <f>('Send comm performance'!W44+'Recv comm performance'!W44)/2</f>
        <v>0.88387155000000006</v>
      </c>
      <c r="X46" s="1">
        <f>('Send comm performance'!X44+'Recv comm performance'!X44)/2</f>
        <v>0.98672735</v>
      </c>
      <c r="Y46" s="1">
        <f>('Send comm performance'!Y44+'Recv comm performance'!Y44)/2</f>
        <v>0.88461045000000005</v>
      </c>
      <c r="Z46" s="1">
        <f>('Send comm performance'!Z44+'Recv comm performance'!Z44)/2</f>
        <v>0.98676439999999999</v>
      </c>
      <c r="AA46" s="1">
        <f>('Send comm performance'!AA44+'Recv comm performance'!AA44)/2</f>
        <v>1.58510065</v>
      </c>
      <c r="AB46" s="1">
        <f>('Send comm performance'!AB44+'Recv comm performance'!AB44)/2</f>
        <v>1.37320445</v>
      </c>
    </row>
    <row r="47" spans="1:28" x14ac:dyDescent="0.25">
      <c r="A47" s="8" t="s">
        <v>103</v>
      </c>
      <c r="B47" s="8" t="s">
        <v>81</v>
      </c>
      <c r="C47" s="1">
        <f>('Send comm performance'!C45+'Recv comm performance'!C45)/2</f>
        <v>1.8725949999999998E-2</v>
      </c>
      <c r="D47" s="1">
        <f>('Send comm performance'!D45+'Recv comm performance'!D45)/2</f>
        <v>1.8881349999999998E-2</v>
      </c>
      <c r="E47" s="1">
        <f>('Send comm performance'!E45+'Recv comm performance'!E45)/2</f>
        <v>1.8519600000000001E-2</v>
      </c>
      <c r="F47" s="1">
        <f>('Send comm performance'!F45+'Recv comm performance'!F45)/2</f>
        <v>0</v>
      </c>
      <c r="G47" s="1">
        <f>('Send comm performance'!G45+'Recv comm performance'!G45)/2</f>
        <v>0.89962445000000002</v>
      </c>
      <c r="H47" s="1">
        <f>('Send comm performance'!H45+'Recv comm performance'!H45)/2</f>
        <v>0.92080404999999999</v>
      </c>
      <c r="I47" s="1">
        <f>('Send comm performance'!I45+'Recv comm performance'!I45)/2</f>
        <v>0.89485480000000006</v>
      </c>
      <c r="J47" s="1">
        <f>('Send comm performance'!J45+'Recv comm performance'!J45)/2</f>
        <v>0.91327739999999991</v>
      </c>
      <c r="K47" s="1">
        <f>('Send comm performance'!K45+'Recv comm performance'!K45)/2</f>
        <v>0.88807024999999995</v>
      </c>
      <c r="L47" s="1">
        <f>('Send comm performance'!L45+'Recv comm performance'!L45)/2</f>
        <v>0.90501964999999995</v>
      </c>
      <c r="M47" s="1">
        <f>('Send comm performance'!M45+'Recv comm performance'!M45)/2</f>
        <v>0.94249019999999994</v>
      </c>
      <c r="N47" s="1">
        <f>('Send comm performance'!N45+'Recv comm performance'!N45)/2</f>
        <v>0.89014890000000002</v>
      </c>
      <c r="O47" s="1">
        <f>('Send comm performance'!O45+'Recv comm performance'!O45)/2</f>
        <v>0.93627299999999991</v>
      </c>
      <c r="P47" s="1">
        <f>('Send comm performance'!P45+'Recv comm performance'!P45)/2</f>
        <v>0.93021034999999996</v>
      </c>
      <c r="Q47" s="1">
        <f>('Send comm performance'!Q45+'Recv comm performance'!Q45)/2</f>
        <v>0.90033295000000002</v>
      </c>
      <c r="R47" s="1">
        <f>('Send comm performance'!R45+'Recv comm performance'!R45)/2</f>
        <v>0.91765929999999996</v>
      </c>
      <c r="S47" s="1">
        <f>('Send comm performance'!S45+'Recv comm performance'!S45)/2</f>
        <v>0.88592015000000002</v>
      </c>
      <c r="T47" s="1">
        <f>('Send comm performance'!T45+'Recv comm performance'!T45)/2</f>
        <v>0.92127344999999994</v>
      </c>
      <c r="U47" s="1">
        <f>('Send comm performance'!U45+'Recv comm performance'!U45)/2</f>
        <v>0.89739325000000003</v>
      </c>
      <c r="V47" s="1">
        <f>('Send comm performance'!V45+'Recv comm performance'!V45)/2</f>
        <v>0.9038851</v>
      </c>
      <c r="W47" s="1">
        <f>('Send comm performance'!W45+'Recv comm performance'!W45)/2</f>
        <v>0.88409914999999994</v>
      </c>
      <c r="X47" s="1">
        <f>('Send comm performance'!X45+'Recv comm performance'!X45)/2</f>
        <v>1.01332095</v>
      </c>
      <c r="Y47" s="1">
        <f>('Send comm performance'!Y45+'Recv comm performance'!Y45)/2</f>
        <v>0.88466050000000007</v>
      </c>
      <c r="Z47" s="1">
        <f>('Send comm performance'!Z45+'Recv comm performance'!Z45)/2</f>
        <v>0.99719784999999994</v>
      </c>
      <c r="AA47" s="1">
        <f>('Send comm performance'!AA45+'Recv comm performance'!AA45)/2</f>
        <v>1.5946547</v>
      </c>
      <c r="AB47" s="1">
        <f>('Send comm performance'!AB45+'Recv comm performance'!AB45)/2</f>
        <v>1.3605589999999999</v>
      </c>
    </row>
    <row r="48" spans="1:28" x14ac:dyDescent="0.25">
      <c r="A48" s="8" t="s">
        <v>104</v>
      </c>
      <c r="B48" s="8" t="s">
        <v>82</v>
      </c>
      <c r="C48" s="1">
        <f>('Send comm performance'!C46+'Recv comm performance'!C46)/2</f>
        <v>0.89160189999999995</v>
      </c>
      <c r="D48" s="1">
        <f>('Send comm performance'!D46+'Recv comm performance'!D46)/2</f>
        <v>0.93244110000000002</v>
      </c>
      <c r="E48" s="1">
        <f>('Send comm performance'!E46+'Recv comm performance'!E46)/2</f>
        <v>0.92805145</v>
      </c>
      <c r="F48" s="1">
        <f>('Send comm performance'!F46+'Recv comm performance'!F46)/2</f>
        <v>0.89972580000000002</v>
      </c>
      <c r="G48" s="1">
        <f>('Send comm performance'!G46+'Recv comm performance'!G46)/2</f>
        <v>0</v>
      </c>
      <c r="H48" s="1">
        <f>('Send comm performance'!H46+'Recv comm performance'!H46)/2</f>
        <v>1.8515799999999999E-2</v>
      </c>
      <c r="I48" s="1">
        <f>('Send comm performance'!I46+'Recv comm performance'!I46)/2</f>
        <v>3.8507300000000001E-2</v>
      </c>
      <c r="J48" s="1">
        <f>('Send comm performance'!J46+'Recv comm performance'!J46)/2</f>
        <v>3.2070500000000002E-2</v>
      </c>
      <c r="K48" s="1">
        <f>('Send comm performance'!K46+'Recv comm performance'!K46)/2</f>
        <v>0.94657504999999997</v>
      </c>
      <c r="L48" s="1">
        <f>('Send comm performance'!L46+'Recv comm performance'!L46)/2</f>
        <v>0.96710214999999999</v>
      </c>
      <c r="M48" s="1">
        <f>('Send comm performance'!M46+'Recv comm performance'!M46)/2</f>
        <v>0.95568920000000002</v>
      </c>
      <c r="N48" s="1">
        <f>('Send comm performance'!N46+'Recv comm performance'!N46)/2</f>
        <v>0.96757375000000001</v>
      </c>
      <c r="O48" s="1">
        <f>('Send comm performance'!O46+'Recv comm performance'!O46)/2</f>
        <v>0.93708585</v>
      </c>
      <c r="P48" s="1">
        <f>('Send comm performance'!P46+'Recv comm performance'!P46)/2</f>
        <v>0.90481725000000002</v>
      </c>
      <c r="Q48" s="1">
        <f>('Send comm performance'!Q46+'Recv comm performance'!Q46)/2</f>
        <v>0.90081115</v>
      </c>
      <c r="R48" s="1">
        <f>('Send comm performance'!R46+'Recv comm performance'!R46)/2</f>
        <v>0.89485024999999996</v>
      </c>
      <c r="S48" s="1">
        <f>('Send comm performance'!S46+'Recv comm performance'!S46)/2</f>
        <v>0.92028094999999999</v>
      </c>
      <c r="T48" s="1">
        <f>('Send comm performance'!T46+'Recv comm performance'!T46)/2</f>
        <v>0.89624155000000005</v>
      </c>
      <c r="U48" s="1">
        <f>('Send comm performance'!U46+'Recv comm performance'!U46)/2</f>
        <v>0.91899869999999995</v>
      </c>
      <c r="V48" s="1">
        <f>('Send comm performance'!V46+'Recv comm performance'!V46)/2</f>
        <v>0.968055</v>
      </c>
      <c r="W48" s="1">
        <f>('Send comm performance'!W46+'Recv comm performance'!W46)/2</f>
        <v>0.91208504999999995</v>
      </c>
      <c r="X48" s="1">
        <f>('Send comm performance'!X46+'Recv comm performance'!X46)/2</f>
        <v>1.0119560000000001</v>
      </c>
      <c r="Y48" s="1">
        <f>('Send comm performance'!Y46+'Recv comm performance'!Y46)/2</f>
        <v>0.88448535000000006</v>
      </c>
      <c r="Z48" s="1">
        <f>('Send comm performance'!Z46+'Recv comm performance'!Z46)/2</f>
        <v>1.05244315</v>
      </c>
      <c r="AA48" s="1">
        <f>('Send comm performance'!AA46+'Recv comm performance'!AA46)/2</f>
        <v>1.5150625500000001</v>
      </c>
      <c r="AB48" s="1">
        <f>('Send comm performance'!AB46+'Recv comm performance'!AB46)/2</f>
        <v>1.2921345</v>
      </c>
    </row>
    <row r="49" spans="1:28" x14ac:dyDescent="0.25">
      <c r="A49" s="8" t="s">
        <v>104</v>
      </c>
      <c r="B49" s="8" t="s">
        <v>83</v>
      </c>
      <c r="C49" s="1">
        <f>('Send comm performance'!C47+'Recv comm performance'!C47)/2</f>
        <v>0.88968395</v>
      </c>
      <c r="D49" s="1">
        <f>('Send comm performance'!D47+'Recv comm performance'!D47)/2</f>
        <v>0.9000045000000001</v>
      </c>
      <c r="E49" s="1">
        <f>('Send comm performance'!E47+'Recv comm performance'!E47)/2</f>
        <v>0.93558940000000002</v>
      </c>
      <c r="F49" s="1">
        <f>('Send comm performance'!F47+'Recv comm performance'!F47)/2</f>
        <v>0.91628825000000003</v>
      </c>
      <c r="G49" s="1">
        <f>('Send comm performance'!G47+'Recv comm performance'!G47)/2</f>
        <v>1.8513999999999999E-2</v>
      </c>
      <c r="H49" s="1">
        <f>('Send comm performance'!H47+'Recv comm performance'!H47)/2</f>
        <v>0</v>
      </c>
      <c r="I49" s="1">
        <f>('Send comm performance'!I47+'Recv comm performance'!I47)/2</f>
        <v>3.480635E-2</v>
      </c>
      <c r="J49" s="1">
        <f>('Send comm performance'!J47+'Recv comm performance'!J47)/2</f>
        <v>2.5666000000000001E-2</v>
      </c>
      <c r="K49" s="1">
        <f>('Send comm performance'!K47+'Recv comm performance'!K47)/2</f>
        <v>0.94265519999999992</v>
      </c>
      <c r="L49" s="1">
        <f>('Send comm performance'!L47+'Recv comm performance'!L47)/2</f>
        <v>0.99301024999999998</v>
      </c>
      <c r="M49" s="1">
        <f>('Send comm performance'!M47+'Recv comm performance'!M47)/2</f>
        <v>0.9357065</v>
      </c>
      <c r="N49" s="1">
        <f>('Send comm performance'!N47+'Recv comm performance'!N47)/2</f>
        <v>0.91441145000000001</v>
      </c>
      <c r="O49" s="1">
        <f>('Send comm performance'!O47+'Recv comm performance'!O47)/2</f>
        <v>0.92149734999999999</v>
      </c>
      <c r="P49" s="1">
        <f>('Send comm performance'!P47+'Recv comm performance'!P47)/2</f>
        <v>0.95145055000000001</v>
      </c>
      <c r="Q49" s="1">
        <f>('Send comm performance'!Q47+'Recv comm performance'!Q47)/2</f>
        <v>0.9713807000000001</v>
      </c>
      <c r="R49" s="1">
        <f>('Send comm performance'!R47+'Recv comm performance'!R47)/2</f>
        <v>0.92140424999999992</v>
      </c>
      <c r="S49" s="1">
        <f>('Send comm performance'!S47+'Recv comm performance'!S47)/2</f>
        <v>0.89977465000000001</v>
      </c>
      <c r="T49" s="1">
        <f>('Send comm performance'!T47+'Recv comm performance'!T47)/2</f>
        <v>0.9148773</v>
      </c>
      <c r="U49" s="1">
        <f>('Send comm performance'!U47+'Recv comm performance'!U47)/2</f>
        <v>0.94159890000000002</v>
      </c>
      <c r="V49" s="1">
        <f>('Send comm performance'!V47+'Recv comm performance'!V47)/2</f>
        <v>0.95762254999999996</v>
      </c>
      <c r="W49" s="1">
        <f>('Send comm performance'!W47+'Recv comm performance'!W47)/2</f>
        <v>0.89505279999999998</v>
      </c>
      <c r="X49" s="1">
        <f>('Send comm performance'!X47+'Recv comm performance'!X47)/2</f>
        <v>1.0032656000000002</v>
      </c>
      <c r="Y49" s="1">
        <f>('Send comm performance'!Y47+'Recv comm performance'!Y47)/2</f>
        <v>0.91895090000000001</v>
      </c>
      <c r="Z49" s="1">
        <f>('Send comm performance'!Z47+'Recv comm performance'!Z47)/2</f>
        <v>1.03940655</v>
      </c>
      <c r="AA49" s="1">
        <f>('Send comm performance'!AA47+'Recv comm performance'!AA47)/2</f>
        <v>1.483331</v>
      </c>
      <c r="AB49" s="1">
        <f>('Send comm performance'!AB47+'Recv comm performance'!AB47)/2</f>
        <v>1.298659</v>
      </c>
    </row>
    <row r="50" spans="1:28" x14ac:dyDescent="0.25">
      <c r="A50" s="8" t="s">
        <v>104</v>
      </c>
      <c r="B50" s="8" t="s">
        <v>84</v>
      </c>
      <c r="C50" s="1">
        <f>('Send comm performance'!C48+'Recv comm performance'!C48)/2</f>
        <v>0.919014</v>
      </c>
      <c r="D50" s="1">
        <f>('Send comm performance'!D48+'Recv comm performance'!D48)/2</f>
        <v>0.89266310000000004</v>
      </c>
      <c r="E50" s="1">
        <f>('Send comm performance'!E48+'Recv comm performance'!E48)/2</f>
        <v>0.89009240000000001</v>
      </c>
      <c r="F50" s="1">
        <f>('Send comm performance'!F48+'Recv comm performance'!F48)/2</f>
        <v>0.89485904999999999</v>
      </c>
      <c r="G50" s="1">
        <f>('Send comm performance'!G48+'Recv comm performance'!G48)/2</f>
        <v>3.8492449999999998E-2</v>
      </c>
      <c r="H50" s="1">
        <f>('Send comm performance'!H48+'Recv comm performance'!H48)/2</f>
        <v>3.4830449999999999E-2</v>
      </c>
      <c r="I50" s="1">
        <f>('Send comm performance'!I48+'Recv comm performance'!I48)/2</f>
        <v>0</v>
      </c>
      <c r="J50" s="1">
        <f>('Send comm performance'!J48+'Recv comm performance'!J48)/2</f>
        <v>5.4874050000000001E-2</v>
      </c>
      <c r="K50" s="1">
        <f>('Send comm performance'!K48+'Recv comm performance'!K48)/2</f>
        <v>0.90043390000000001</v>
      </c>
      <c r="L50" s="1">
        <f>('Send comm performance'!L48+'Recv comm performance'!L48)/2</f>
        <v>0.92342789999999997</v>
      </c>
      <c r="M50" s="1">
        <f>('Send comm performance'!M48+'Recv comm performance'!M48)/2</f>
        <v>0.96069539999999998</v>
      </c>
      <c r="N50" s="1">
        <f>('Send comm performance'!N48+'Recv comm performance'!N48)/2</f>
        <v>0.95388089999999992</v>
      </c>
      <c r="O50" s="1">
        <f>('Send comm performance'!O48+'Recv comm performance'!O48)/2</f>
        <v>0.91832804999999995</v>
      </c>
      <c r="P50" s="1">
        <f>('Send comm performance'!P48+'Recv comm performance'!P48)/2</f>
        <v>0.97649465000000002</v>
      </c>
      <c r="Q50" s="1">
        <f>('Send comm performance'!Q48+'Recv comm performance'!Q48)/2</f>
        <v>0.92857420000000002</v>
      </c>
      <c r="R50" s="1">
        <f>('Send comm performance'!R48+'Recv comm performance'!R48)/2</f>
        <v>0.95584914999999993</v>
      </c>
      <c r="S50" s="1">
        <f>('Send comm performance'!S48+'Recv comm performance'!S48)/2</f>
        <v>0.92792269999999999</v>
      </c>
      <c r="T50" s="1">
        <f>('Send comm performance'!T48+'Recv comm performance'!T48)/2</f>
        <v>0.94555775000000009</v>
      </c>
      <c r="U50" s="1">
        <f>('Send comm performance'!U48+'Recv comm performance'!U48)/2</f>
        <v>0.93509229999999999</v>
      </c>
      <c r="V50" s="1">
        <f>('Send comm performance'!V48+'Recv comm performance'!V48)/2</f>
        <v>0.91273285000000004</v>
      </c>
      <c r="W50" s="1">
        <f>('Send comm performance'!W48+'Recv comm performance'!W48)/2</f>
        <v>0.90962969999999999</v>
      </c>
      <c r="X50" s="1">
        <f>('Send comm performance'!X48+'Recv comm performance'!X48)/2</f>
        <v>1.02594545</v>
      </c>
      <c r="Y50" s="1">
        <f>('Send comm performance'!Y48+'Recv comm performance'!Y48)/2</f>
        <v>0.88926364999999996</v>
      </c>
      <c r="Z50" s="1">
        <f>('Send comm performance'!Z48+'Recv comm performance'!Z48)/2</f>
        <v>0.97705890000000006</v>
      </c>
      <c r="AA50" s="1">
        <f>('Send comm performance'!AA48+'Recv comm performance'!AA48)/2</f>
        <v>1.5989021000000001</v>
      </c>
      <c r="AB50" s="1">
        <f>('Send comm performance'!AB48+'Recv comm performance'!AB48)/2</f>
        <v>1.3151240500000001</v>
      </c>
    </row>
    <row r="51" spans="1:28" x14ac:dyDescent="0.25">
      <c r="A51" s="8" t="s">
        <v>104</v>
      </c>
      <c r="B51" s="8" t="s">
        <v>85</v>
      </c>
      <c r="C51" s="1">
        <f>('Send comm performance'!C49+'Recv comm performance'!C49)/2</f>
        <v>0.88510095</v>
      </c>
      <c r="D51" s="1">
        <f>('Send comm performance'!D49+'Recv comm performance'!D49)/2</f>
        <v>0.90006730000000001</v>
      </c>
      <c r="E51" s="1">
        <f>('Send comm performance'!E49+'Recv comm performance'!E49)/2</f>
        <v>0.90357874999999999</v>
      </c>
      <c r="F51" s="1">
        <f>('Send comm performance'!F49+'Recv comm performance'!F49)/2</f>
        <v>0.90981124999999996</v>
      </c>
      <c r="G51" s="1">
        <f>('Send comm performance'!G49+'Recv comm performance'!G49)/2</f>
        <v>2.87117E-2</v>
      </c>
      <c r="H51" s="1">
        <f>('Send comm performance'!H49+'Recv comm performance'!H49)/2</f>
        <v>2.3811699999999998E-2</v>
      </c>
      <c r="I51" s="1">
        <f>('Send comm performance'!I49+'Recv comm performance'!I49)/2</f>
        <v>4.9868250000000003E-2</v>
      </c>
      <c r="J51" s="1">
        <f>('Send comm performance'!J49+'Recv comm performance'!J49)/2</f>
        <v>0</v>
      </c>
      <c r="K51" s="1">
        <f>('Send comm performance'!K49+'Recv comm performance'!K49)/2</f>
        <v>0.96162570000000003</v>
      </c>
      <c r="L51" s="1">
        <f>('Send comm performance'!L49+'Recv comm performance'!L49)/2</f>
        <v>0.92856620000000001</v>
      </c>
      <c r="M51" s="1">
        <f>('Send comm performance'!M49+'Recv comm performance'!M49)/2</f>
        <v>0.97217274999999992</v>
      </c>
      <c r="N51" s="1">
        <f>('Send comm performance'!N49+'Recv comm performance'!N49)/2</f>
        <v>0.88815319999999998</v>
      </c>
      <c r="O51" s="1">
        <f>('Send comm performance'!O49+'Recv comm performance'!O49)/2</f>
        <v>0.92012585000000002</v>
      </c>
      <c r="P51" s="1">
        <f>('Send comm performance'!P49+'Recv comm performance'!P49)/2</f>
        <v>0.9027409500000001</v>
      </c>
      <c r="Q51" s="1">
        <f>('Send comm performance'!Q49+'Recv comm performance'!Q49)/2</f>
        <v>0.94686289999999995</v>
      </c>
      <c r="R51" s="1">
        <f>('Send comm performance'!R49+'Recv comm performance'!R49)/2</f>
        <v>0.94185569999999996</v>
      </c>
      <c r="S51" s="1">
        <f>('Send comm performance'!S49+'Recv comm performance'!S49)/2</f>
        <v>0.97242035000000004</v>
      </c>
      <c r="T51" s="1">
        <f>('Send comm performance'!T49+'Recv comm performance'!T49)/2</f>
        <v>0.95246204999999995</v>
      </c>
      <c r="U51" s="1">
        <f>('Send comm performance'!U49+'Recv comm performance'!U49)/2</f>
        <v>0.96783054999999996</v>
      </c>
      <c r="V51" s="1">
        <f>('Send comm performance'!V49+'Recv comm performance'!V49)/2</f>
        <v>0.89787790000000001</v>
      </c>
      <c r="W51" s="1">
        <f>('Send comm performance'!W49+'Recv comm performance'!W49)/2</f>
        <v>0.88700365000000003</v>
      </c>
      <c r="X51" s="1">
        <f>('Send comm performance'!X49+'Recv comm performance'!X49)/2</f>
        <v>1.02074825</v>
      </c>
      <c r="Y51" s="1">
        <f>('Send comm performance'!Y49+'Recv comm performance'!Y49)/2</f>
        <v>0.90455099999999999</v>
      </c>
      <c r="Z51" s="1">
        <f>('Send comm performance'!Z49+'Recv comm performance'!Z49)/2</f>
        <v>1.0501999500000001</v>
      </c>
      <c r="AA51" s="1">
        <f>('Send comm performance'!AA49+'Recv comm performance'!AA49)/2</f>
        <v>1.4514198</v>
      </c>
      <c r="AB51" s="1">
        <f>('Send comm performance'!AB49+'Recv comm performance'!AB49)/2</f>
        <v>1.2910477999999999</v>
      </c>
    </row>
    <row r="52" spans="1:28" x14ac:dyDescent="0.25">
      <c r="A52" s="8" t="s">
        <v>105</v>
      </c>
      <c r="B52" s="8" t="s">
        <v>86</v>
      </c>
      <c r="C52" s="1">
        <f>('Send comm performance'!C50+'Recv comm performance'!C50)/2</f>
        <v>0.90233825000000001</v>
      </c>
      <c r="D52" s="1">
        <f>('Send comm performance'!D50+'Recv comm performance'!D50)/2</f>
        <v>0.91049124999999997</v>
      </c>
      <c r="E52" s="1">
        <f>('Send comm performance'!E50+'Recv comm performance'!E50)/2</f>
        <v>0.88606465000000001</v>
      </c>
      <c r="F52" s="1">
        <f>('Send comm performance'!F50+'Recv comm performance'!F50)/2</f>
        <v>0.88585654999999996</v>
      </c>
      <c r="G52" s="1">
        <f>('Send comm performance'!G50+'Recv comm performance'!G50)/2</f>
        <v>0.94747555000000006</v>
      </c>
      <c r="H52" s="1">
        <f>('Send comm performance'!H50+'Recv comm performance'!H50)/2</f>
        <v>0.94267895000000002</v>
      </c>
      <c r="I52" s="1">
        <f>('Send comm performance'!I50+'Recv comm performance'!I50)/2</f>
        <v>0.89874699999999996</v>
      </c>
      <c r="J52" s="1">
        <f>('Send comm performance'!J50+'Recv comm performance'!J50)/2</f>
        <v>0.96979294999999999</v>
      </c>
      <c r="K52" s="1">
        <f>('Send comm performance'!K50+'Recv comm performance'!K50)/2</f>
        <v>0</v>
      </c>
      <c r="L52" s="1">
        <f>('Send comm performance'!L50+'Recv comm performance'!L50)/2</f>
        <v>8.8346350000000004E-2</v>
      </c>
      <c r="M52" s="1">
        <f>('Send comm performance'!M50+'Recv comm performance'!M50)/2</f>
        <v>0.1332219</v>
      </c>
      <c r="N52" s="1">
        <f>('Send comm performance'!N50+'Recv comm performance'!N50)/2</f>
        <v>3.7448500000000003E-2</v>
      </c>
      <c r="O52" s="1">
        <f>('Send comm performance'!O50+'Recv comm performance'!O50)/2</f>
        <v>0.93888284999999994</v>
      </c>
      <c r="P52" s="1">
        <f>('Send comm performance'!P50+'Recv comm performance'!P50)/2</f>
        <v>0.97591410000000001</v>
      </c>
      <c r="Q52" s="1">
        <f>('Send comm performance'!Q50+'Recv comm performance'!Q50)/2</f>
        <v>0.96283574999999999</v>
      </c>
      <c r="R52" s="1">
        <f>('Send comm performance'!R50+'Recv comm performance'!R50)/2</f>
        <v>0.90078685000000003</v>
      </c>
      <c r="S52" s="1">
        <f>('Send comm performance'!S50+'Recv comm performance'!S50)/2</f>
        <v>0.92240009999999995</v>
      </c>
      <c r="T52" s="1">
        <f>('Send comm performance'!T50+'Recv comm performance'!T50)/2</f>
        <v>0.9078503</v>
      </c>
      <c r="U52" s="1">
        <f>('Send comm performance'!U50+'Recv comm performance'!U50)/2</f>
        <v>0.90869255000000004</v>
      </c>
      <c r="V52" s="1">
        <f>('Send comm performance'!V50+'Recv comm performance'!V50)/2</f>
        <v>0.94215740000000003</v>
      </c>
      <c r="W52" s="1">
        <f>('Send comm performance'!W50+'Recv comm performance'!W50)/2</f>
        <v>0.92642034999999989</v>
      </c>
      <c r="X52" s="1">
        <f>('Send comm performance'!X50+'Recv comm performance'!X50)/2</f>
        <v>1.060567</v>
      </c>
      <c r="Y52" s="1">
        <f>('Send comm performance'!Y50+'Recv comm performance'!Y50)/2</f>
        <v>0.89009929999999993</v>
      </c>
      <c r="Z52" s="1">
        <f>('Send comm performance'!Z50+'Recv comm performance'!Z50)/2</f>
        <v>1.0266684500000001</v>
      </c>
      <c r="AA52" s="1">
        <f>('Send comm performance'!AA50+'Recv comm performance'!AA50)/2</f>
        <v>1.513968</v>
      </c>
      <c r="AB52" s="1">
        <f>('Send comm performance'!AB50+'Recv comm performance'!AB50)/2</f>
        <v>1.3111393499999999</v>
      </c>
    </row>
    <row r="53" spans="1:28" x14ac:dyDescent="0.25">
      <c r="A53" s="8" t="s">
        <v>105</v>
      </c>
      <c r="B53" s="8" t="s">
        <v>87</v>
      </c>
      <c r="C53" s="1">
        <f>('Send comm performance'!C51+'Recv comm performance'!C51)/2</f>
        <v>0.92758640000000003</v>
      </c>
      <c r="D53" s="1">
        <f>('Send comm performance'!D51+'Recv comm performance'!D51)/2</f>
        <v>0.89380884999999999</v>
      </c>
      <c r="E53" s="1">
        <f>('Send comm performance'!E51+'Recv comm performance'!E51)/2</f>
        <v>0.90196385000000001</v>
      </c>
      <c r="F53" s="1">
        <f>('Send comm performance'!F51+'Recv comm performance'!F51)/2</f>
        <v>0.90189579999999991</v>
      </c>
      <c r="G53" s="1">
        <f>('Send comm performance'!G51+'Recv comm performance'!G51)/2</f>
        <v>0.96224399999999999</v>
      </c>
      <c r="H53" s="1">
        <f>('Send comm performance'!H51+'Recv comm performance'!H51)/2</f>
        <v>0.98871885000000004</v>
      </c>
      <c r="I53" s="1">
        <f>('Send comm performance'!I51+'Recv comm performance'!I51)/2</f>
        <v>0.92274769999999995</v>
      </c>
      <c r="J53" s="1">
        <f>('Send comm performance'!J51+'Recv comm performance'!J51)/2</f>
        <v>0.93017539999999999</v>
      </c>
      <c r="K53" s="1">
        <f>('Send comm performance'!K51+'Recv comm performance'!K51)/2</f>
        <v>8.7077599999999991E-2</v>
      </c>
      <c r="L53" s="1">
        <f>('Send comm performance'!L51+'Recv comm performance'!L51)/2</f>
        <v>0</v>
      </c>
      <c r="M53" s="1">
        <f>('Send comm performance'!M51+'Recv comm performance'!M51)/2</f>
        <v>3.3466349999999999E-2</v>
      </c>
      <c r="N53" s="1">
        <f>('Send comm performance'!N51+'Recv comm performance'!N51)/2</f>
        <v>2.9486400000000003E-2</v>
      </c>
      <c r="O53" s="1">
        <f>('Send comm performance'!O51+'Recv comm performance'!O51)/2</f>
        <v>0.92586919999999995</v>
      </c>
      <c r="P53" s="1">
        <f>('Send comm performance'!P51+'Recv comm performance'!P51)/2</f>
        <v>0.93956695000000001</v>
      </c>
      <c r="Q53" s="1">
        <f>('Send comm performance'!Q51+'Recv comm performance'!Q51)/2</f>
        <v>0.96757055000000003</v>
      </c>
      <c r="R53" s="1">
        <f>('Send comm performance'!R51+'Recv comm performance'!R51)/2</f>
        <v>0.89244594999999993</v>
      </c>
      <c r="S53" s="1">
        <f>('Send comm performance'!S51+'Recv comm performance'!S51)/2</f>
        <v>0.96240949999999992</v>
      </c>
      <c r="T53" s="1">
        <f>('Send comm performance'!T51+'Recv comm performance'!T51)/2</f>
        <v>0.94280960000000003</v>
      </c>
      <c r="U53" s="1">
        <f>('Send comm performance'!U51+'Recv comm performance'!U51)/2</f>
        <v>0.89493654999999994</v>
      </c>
      <c r="V53" s="1">
        <f>('Send comm performance'!V51+'Recv comm performance'!V51)/2</f>
        <v>0.96529259999999995</v>
      </c>
      <c r="W53" s="1">
        <f>('Send comm performance'!W51+'Recv comm performance'!W51)/2</f>
        <v>0.92117739999999992</v>
      </c>
      <c r="X53" s="1">
        <f>('Send comm performance'!X51+'Recv comm performance'!X51)/2</f>
        <v>1.0213672</v>
      </c>
      <c r="Y53" s="1">
        <f>('Send comm performance'!Y51+'Recv comm performance'!Y51)/2</f>
        <v>0.91083835000000002</v>
      </c>
      <c r="Z53" s="1">
        <f>('Send comm performance'!Z51+'Recv comm performance'!Z51)/2</f>
        <v>1.03451</v>
      </c>
      <c r="AA53" s="1">
        <f>('Send comm performance'!AA51+'Recv comm performance'!AA51)/2</f>
        <v>1.5646364500000001</v>
      </c>
      <c r="AB53" s="1">
        <f>('Send comm performance'!AB51+'Recv comm performance'!AB51)/2</f>
        <v>1.3232921</v>
      </c>
    </row>
    <row r="54" spans="1:28" x14ac:dyDescent="0.25">
      <c r="A54" s="8" t="s">
        <v>105</v>
      </c>
      <c r="B54" s="8" t="s">
        <v>88</v>
      </c>
      <c r="C54" s="1">
        <f>('Send comm performance'!C52+'Recv comm performance'!C52)/2</f>
        <v>0.90096345</v>
      </c>
      <c r="D54" s="1">
        <f>('Send comm performance'!D52+'Recv comm performance'!D52)/2</f>
        <v>0.90624150000000003</v>
      </c>
      <c r="E54" s="1">
        <f>('Send comm performance'!E52+'Recv comm performance'!E52)/2</f>
        <v>0.89909780000000006</v>
      </c>
      <c r="F54" s="1">
        <f>('Send comm performance'!F52+'Recv comm performance'!F52)/2</f>
        <v>0.94239424999999999</v>
      </c>
      <c r="G54" s="1">
        <f>('Send comm performance'!G52+'Recv comm performance'!G52)/2</f>
        <v>0.95562075000000002</v>
      </c>
      <c r="H54" s="1">
        <f>('Send comm performance'!H52+'Recv comm performance'!H52)/2</f>
        <v>0.9323977</v>
      </c>
      <c r="I54" s="1">
        <f>('Send comm performance'!I52+'Recv comm performance'!I52)/2</f>
        <v>0.95615430000000001</v>
      </c>
      <c r="J54" s="1">
        <f>('Send comm performance'!J52+'Recv comm performance'!J52)/2</f>
        <v>0.97639070000000006</v>
      </c>
      <c r="K54" s="1">
        <f>('Send comm performance'!K52+'Recv comm performance'!K52)/2</f>
        <v>0.12856385000000001</v>
      </c>
      <c r="L54" s="1">
        <f>('Send comm performance'!L52+'Recv comm performance'!L52)/2</f>
        <v>3.3899550000000001E-2</v>
      </c>
      <c r="M54" s="1">
        <f>('Send comm performance'!M52+'Recv comm performance'!M52)/2</f>
        <v>0</v>
      </c>
      <c r="N54" s="1">
        <f>('Send comm performance'!N52+'Recv comm performance'!N52)/2</f>
        <v>1.9087899999999998E-2</v>
      </c>
      <c r="O54" s="1">
        <f>('Send comm performance'!O52+'Recv comm performance'!O52)/2</f>
        <v>0.89883445000000006</v>
      </c>
      <c r="P54" s="1">
        <f>('Send comm performance'!P52+'Recv comm performance'!P52)/2</f>
        <v>0.92763985000000004</v>
      </c>
      <c r="Q54" s="1">
        <f>('Send comm performance'!Q52+'Recv comm performance'!Q52)/2</f>
        <v>0.99622569999999999</v>
      </c>
      <c r="R54" s="1">
        <f>('Send comm performance'!R52+'Recv comm performance'!R52)/2</f>
        <v>0.90474699999999997</v>
      </c>
      <c r="S54" s="1">
        <f>('Send comm performance'!S52+'Recv comm performance'!S52)/2</f>
        <v>0.90308655000000004</v>
      </c>
      <c r="T54" s="1">
        <f>('Send comm performance'!T52+'Recv comm performance'!T52)/2</f>
        <v>0.91712210000000005</v>
      </c>
      <c r="U54" s="1">
        <f>('Send comm performance'!U52+'Recv comm performance'!U52)/2</f>
        <v>0.97723769999999999</v>
      </c>
      <c r="V54" s="1">
        <f>('Send comm performance'!V52+'Recv comm performance'!V52)/2</f>
        <v>0.88916764999999998</v>
      </c>
      <c r="W54" s="1">
        <f>('Send comm performance'!W52+'Recv comm performance'!W52)/2</f>
        <v>0.90923035000000008</v>
      </c>
      <c r="X54" s="1">
        <f>('Send comm performance'!X52+'Recv comm performance'!X52)/2</f>
        <v>1.0137356500000001</v>
      </c>
      <c r="Y54" s="1">
        <f>('Send comm performance'!Y52+'Recv comm performance'!Y52)/2</f>
        <v>0.88538335000000001</v>
      </c>
      <c r="Z54" s="1">
        <f>('Send comm performance'!Z52+'Recv comm performance'!Z52)/2</f>
        <v>0.98174975000000009</v>
      </c>
      <c r="AA54" s="1">
        <f>('Send comm performance'!AA52+'Recv comm performance'!AA52)/2</f>
        <v>1.4827937</v>
      </c>
      <c r="AB54" s="1">
        <f>('Send comm performance'!AB52+'Recv comm performance'!AB52)/2</f>
        <v>1.2704670499999999</v>
      </c>
    </row>
    <row r="55" spans="1:28" x14ac:dyDescent="0.25">
      <c r="A55" s="8" t="s">
        <v>105</v>
      </c>
      <c r="B55" s="8" t="s">
        <v>89</v>
      </c>
      <c r="C55" s="1">
        <f>('Send comm performance'!C53+'Recv comm performance'!C53)/2</f>
        <v>0.89296375000000006</v>
      </c>
      <c r="D55" s="1">
        <f>('Send comm performance'!D53+'Recv comm performance'!D53)/2</f>
        <v>0.88750045</v>
      </c>
      <c r="E55" s="1">
        <f>('Send comm performance'!E53+'Recv comm performance'!E53)/2</f>
        <v>0.90160534999999997</v>
      </c>
      <c r="F55" s="1">
        <f>('Send comm performance'!F53+'Recv comm performance'!F53)/2</f>
        <v>0.89252734999999994</v>
      </c>
      <c r="G55" s="1">
        <f>('Send comm performance'!G53+'Recv comm performance'!G53)/2</f>
        <v>0.96591840000000007</v>
      </c>
      <c r="H55" s="1">
        <f>('Send comm performance'!H53+'Recv comm performance'!H53)/2</f>
        <v>0.9163133</v>
      </c>
      <c r="I55" s="1">
        <f>('Send comm performance'!I53+'Recv comm performance'!I53)/2</f>
        <v>0.96032205000000004</v>
      </c>
      <c r="J55" s="1">
        <f>('Send comm performance'!J53+'Recv comm performance'!J53)/2</f>
        <v>0.8879528000000001</v>
      </c>
      <c r="K55" s="1">
        <f>('Send comm performance'!K53+'Recv comm performance'!K53)/2</f>
        <v>3.4783250000000002E-2</v>
      </c>
      <c r="L55" s="1">
        <f>('Send comm performance'!L53+'Recv comm performance'!L53)/2</f>
        <v>2.9476499999999999E-2</v>
      </c>
      <c r="M55" s="1">
        <f>('Send comm performance'!M53+'Recv comm performance'!M53)/2</f>
        <v>1.909135E-2</v>
      </c>
      <c r="N55" s="1">
        <f>('Send comm performance'!N53+'Recv comm performance'!N53)/2</f>
        <v>0</v>
      </c>
      <c r="O55" s="1">
        <f>('Send comm performance'!O53+'Recv comm performance'!O53)/2</f>
        <v>0.99094459999999995</v>
      </c>
      <c r="P55" s="1">
        <f>('Send comm performance'!P53+'Recv comm performance'!P53)/2</f>
        <v>0.92035709999999993</v>
      </c>
      <c r="Q55" s="1">
        <f>('Send comm performance'!Q53+'Recv comm performance'!Q53)/2</f>
        <v>0.98710514999999999</v>
      </c>
      <c r="R55" s="1">
        <f>('Send comm performance'!R53+'Recv comm performance'!R53)/2</f>
        <v>0.93001509999999998</v>
      </c>
      <c r="S55" s="1">
        <f>('Send comm performance'!S53+'Recv comm performance'!S53)/2</f>
        <v>0.89809300000000003</v>
      </c>
      <c r="T55" s="1">
        <f>('Send comm performance'!T53+'Recv comm performance'!T53)/2</f>
        <v>0.97463440000000001</v>
      </c>
      <c r="U55" s="1">
        <f>('Send comm performance'!U53+'Recv comm performance'!U53)/2</f>
        <v>0.96297135</v>
      </c>
      <c r="V55" s="1">
        <f>('Send comm performance'!V53+'Recv comm performance'!V53)/2</f>
        <v>1.0021890499999999</v>
      </c>
      <c r="W55" s="1">
        <f>('Send comm performance'!W53+'Recv comm performance'!W53)/2</f>
        <v>0.89587250000000007</v>
      </c>
      <c r="X55" s="1">
        <f>('Send comm performance'!X53+'Recv comm performance'!X53)/2</f>
        <v>1.0876950000000001</v>
      </c>
      <c r="Y55" s="1">
        <f>('Send comm performance'!Y53+'Recv comm performance'!Y53)/2</f>
        <v>0.89067889999999994</v>
      </c>
      <c r="Z55" s="1">
        <f>('Send comm performance'!Z53+'Recv comm performance'!Z53)/2</f>
        <v>1.0743125499999999</v>
      </c>
      <c r="AA55" s="1">
        <f>('Send comm performance'!AA53+'Recv comm performance'!AA53)/2</f>
        <v>1.4916334</v>
      </c>
      <c r="AB55" s="1">
        <f>('Send comm performance'!AB53+'Recv comm performance'!AB53)/2</f>
        <v>1.3075935999999999</v>
      </c>
    </row>
    <row r="56" spans="1:28" x14ac:dyDescent="0.25">
      <c r="A56" s="8" t="s">
        <v>106</v>
      </c>
      <c r="B56" s="8" t="s">
        <v>90</v>
      </c>
      <c r="C56" s="1">
        <f>('Send comm performance'!C54+'Recv comm performance'!C54)/2</f>
        <v>0.93572854999999999</v>
      </c>
      <c r="D56" s="1">
        <f>('Send comm performance'!D54+'Recv comm performance'!D54)/2</f>
        <v>0.89653764999999996</v>
      </c>
      <c r="E56" s="1">
        <f>('Send comm performance'!E54+'Recv comm performance'!E54)/2</f>
        <v>0.90389275000000002</v>
      </c>
      <c r="F56" s="1">
        <f>('Send comm performance'!F54+'Recv comm performance'!F54)/2</f>
        <v>0.92787075000000008</v>
      </c>
      <c r="G56" s="1">
        <f>('Send comm performance'!G54+'Recv comm performance'!G54)/2</f>
        <v>0.9407755499999999</v>
      </c>
      <c r="H56" s="1">
        <f>('Send comm performance'!H54+'Recv comm performance'!H54)/2</f>
        <v>0.91626355000000004</v>
      </c>
      <c r="I56" s="1">
        <f>('Send comm performance'!I54+'Recv comm performance'!I54)/2</f>
        <v>0.92040535000000001</v>
      </c>
      <c r="J56" s="1">
        <f>('Send comm performance'!J54+'Recv comm performance'!J54)/2</f>
        <v>0.9258672</v>
      </c>
      <c r="K56" s="1">
        <f>('Send comm performance'!K54+'Recv comm performance'!K54)/2</f>
        <v>0.94214975000000001</v>
      </c>
      <c r="L56" s="1">
        <f>('Send comm performance'!L54+'Recv comm performance'!L54)/2</f>
        <v>0.9306333</v>
      </c>
      <c r="M56" s="1">
        <f>('Send comm performance'!M54+'Recv comm performance'!M54)/2</f>
        <v>0.89734294999999997</v>
      </c>
      <c r="N56" s="1">
        <f>('Send comm performance'!N54+'Recv comm performance'!N54)/2</f>
        <v>0.99359175</v>
      </c>
      <c r="O56" s="1">
        <f>('Send comm performance'!O54+'Recv comm performance'!O54)/2</f>
        <v>0</v>
      </c>
      <c r="P56" s="1">
        <f>('Send comm performance'!P54+'Recv comm performance'!P54)/2</f>
        <v>3.7527199999999997E-2</v>
      </c>
      <c r="Q56" s="1">
        <f>('Send comm performance'!Q54+'Recv comm performance'!Q54)/2</f>
        <v>2.8394249999999999E-2</v>
      </c>
      <c r="R56" s="1">
        <f>('Send comm performance'!R54+'Recv comm performance'!R54)/2</f>
        <v>3.1031099999999999E-2</v>
      </c>
      <c r="S56" s="1">
        <f>('Send comm performance'!S54+'Recv comm performance'!S54)/2</f>
        <v>0.92912624999999993</v>
      </c>
      <c r="T56" s="1">
        <f>('Send comm performance'!T54+'Recv comm performance'!T54)/2</f>
        <v>0.96296130000000002</v>
      </c>
      <c r="U56" s="1">
        <f>('Send comm performance'!U54+'Recv comm performance'!U54)/2</f>
        <v>0.91881539999999995</v>
      </c>
      <c r="V56" s="1">
        <f>('Send comm performance'!V54+'Recv comm performance'!V54)/2</f>
        <v>0.97856294999999993</v>
      </c>
      <c r="W56" s="1">
        <f>('Send comm performance'!W54+'Recv comm performance'!W54)/2</f>
        <v>0.93981160000000008</v>
      </c>
      <c r="X56" s="1">
        <f>('Send comm performance'!X54+'Recv comm performance'!X54)/2</f>
        <v>1.0311235000000001</v>
      </c>
      <c r="Y56" s="1">
        <f>('Send comm performance'!Y54+'Recv comm performance'!Y54)/2</f>
        <v>0.90888360000000001</v>
      </c>
      <c r="Z56" s="1">
        <f>('Send comm performance'!Z54+'Recv comm performance'!Z54)/2</f>
        <v>1.01228045</v>
      </c>
      <c r="AA56" s="1">
        <f>('Send comm performance'!AA54+'Recv comm performance'!AA54)/2</f>
        <v>1.50557575</v>
      </c>
      <c r="AB56" s="1">
        <f>('Send comm performance'!AB54+'Recv comm performance'!AB54)/2</f>
        <v>1.27659345</v>
      </c>
    </row>
    <row r="57" spans="1:28" x14ac:dyDescent="0.25">
      <c r="A57" s="8" t="s">
        <v>106</v>
      </c>
      <c r="B57" s="8" t="s">
        <v>91</v>
      </c>
      <c r="C57" s="1">
        <f>('Send comm performance'!C55+'Recv comm performance'!C55)/2</f>
        <v>0.88989010000000002</v>
      </c>
      <c r="D57" s="1">
        <f>('Send comm performance'!D55+'Recv comm performance'!D55)/2</f>
        <v>0.92779634999999994</v>
      </c>
      <c r="E57" s="1">
        <f>('Send comm performance'!E55+'Recv comm performance'!E55)/2</f>
        <v>0.90342235000000004</v>
      </c>
      <c r="F57" s="1">
        <f>('Send comm performance'!F55+'Recv comm performance'!F55)/2</f>
        <v>0.93373799999999996</v>
      </c>
      <c r="G57" s="1">
        <f>('Send comm performance'!G55+'Recv comm performance'!G55)/2</f>
        <v>0.91253855000000006</v>
      </c>
      <c r="H57" s="1">
        <f>('Send comm performance'!H55+'Recv comm performance'!H55)/2</f>
        <v>0.94669770000000009</v>
      </c>
      <c r="I57" s="1">
        <f>('Send comm performance'!I55+'Recv comm performance'!I55)/2</f>
        <v>0.96355685000000002</v>
      </c>
      <c r="J57" s="1">
        <f>('Send comm performance'!J55+'Recv comm performance'!J55)/2</f>
        <v>0.90713144999999995</v>
      </c>
      <c r="K57" s="1">
        <f>('Send comm performance'!K55+'Recv comm performance'!K55)/2</f>
        <v>0.97161030000000004</v>
      </c>
      <c r="L57" s="1">
        <f>('Send comm performance'!L55+'Recv comm performance'!L55)/2</f>
        <v>0.93847904999999998</v>
      </c>
      <c r="M57" s="1">
        <f>('Send comm performance'!M55+'Recv comm performance'!M55)/2</f>
        <v>0.92626095000000008</v>
      </c>
      <c r="N57" s="1">
        <f>('Send comm performance'!N55+'Recv comm performance'!N55)/2</f>
        <v>0.92442749999999996</v>
      </c>
      <c r="O57" s="1">
        <f>('Send comm performance'!O55+'Recv comm performance'!O55)/2</f>
        <v>3.3421650000000004E-2</v>
      </c>
      <c r="P57" s="1">
        <f>('Send comm performance'!P55+'Recv comm performance'!P55)/2</f>
        <v>0</v>
      </c>
      <c r="Q57" s="1">
        <f>('Send comm performance'!Q55+'Recv comm performance'!Q55)/2</f>
        <v>1.9470000000000001E-2</v>
      </c>
      <c r="R57" s="1">
        <f>('Send comm performance'!R55+'Recv comm performance'!R55)/2</f>
        <v>4.5208100000000001E-2</v>
      </c>
      <c r="S57" s="1">
        <f>('Send comm performance'!S55+'Recv comm performance'!S55)/2</f>
        <v>0.92140485000000005</v>
      </c>
      <c r="T57" s="1">
        <f>('Send comm performance'!T55+'Recv comm performance'!T55)/2</f>
        <v>0.9286797</v>
      </c>
      <c r="U57" s="1">
        <f>('Send comm performance'!U55+'Recv comm performance'!U55)/2</f>
        <v>0.94663929999999996</v>
      </c>
      <c r="V57" s="1">
        <f>('Send comm performance'!V55+'Recv comm performance'!V55)/2</f>
        <v>0.95029684999999997</v>
      </c>
      <c r="W57" s="1">
        <f>('Send comm performance'!W55+'Recv comm performance'!W55)/2</f>
        <v>0.89511549999999995</v>
      </c>
      <c r="X57" s="1">
        <f>('Send comm performance'!X55+'Recv comm performance'!X55)/2</f>
        <v>1.0233025499999999</v>
      </c>
      <c r="Y57" s="1">
        <f>('Send comm performance'!Y55+'Recv comm performance'!Y55)/2</f>
        <v>0.89908109999999997</v>
      </c>
      <c r="Z57" s="1">
        <f>('Send comm performance'!Z55+'Recv comm performance'!Z55)/2</f>
        <v>1.05142855</v>
      </c>
      <c r="AA57" s="1">
        <f>('Send comm performance'!AA55+'Recv comm performance'!AA55)/2</f>
        <v>1.5305336999999999</v>
      </c>
      <c r="AB57" s="1">
        <f>('Send comm performance'!AB55+'Recv comm performance'!AB55)/2</f>
        <v>1.2726280999999999</v>
      </c>
    </row>
    <row r="58" spans="1:28" x14ac:dyDescent="0.25">
      <c r="A58" s="8" t="s">
        <v>106</v>
      </c>
      <c r="B58" s="8" t="s">
        <v>92</v>
      </c>
      <c r="C58" s="1">
        <f>('Send comm performance'!C56+'Recv comm performance'!C56)/2</f>
        <v>0.89972364999999999</v>
      </c>
      <c r="D58" s="1">
        <f>('Send comm performance'!D56+'Recv comm performance'!D56)/2</f>
        <v>0.94607629999999998</v>
      </c>
      <c r="E58" s="1">
        <f>('Send comm performance'!E56+'Recv comm performance'!E56)/2</f>
        <v>0.88861309999999993</v>
      </c>
      <c r="F58" s="1">
        <f>('Send comm performance'!F56+'Recv comm performance'!F56)/2</f>
        <v>0.90721724999999998</v>
      </c>
      <c r="G58" s="1">
        <f>('Send comm performance'!G56+'Recv comm performance'!G56)/2</f>
        <v>0.90241305000000005</v>
      </c>
      <c r="H58" s="1">
        <f>('Send comm performance'!H56+'Recv comm performance'!H56)/2</f>
        <v>0.96899234999999995</v>
      </c>
      <c r="I58" s="1">
        <f>('Send comm performance'!I56+'Recv comm performance'!I56)/2</f>
        <v>0.91178605000000001</v>
      </c>
      <c r="J58" s="1">
        <f>('Send comm performance'!J56+'Recv comm performance'!J56)/2</f>
        <v>0.948434</v>
      </c>
      <c r="K58" s="1">
        <f>('Send comm performance'!K56+'Recv comm performance'!K56)/2</f>
        <v>0.96123185</v>
      </c>
      <c r="L58" s="1">
        <f>('Send comm performance'!L56+'Recv comm performance'!L56)/2</f>
        <v>0.96797474999999999</v>
      </c>
      <c r="M58" s="1">
        <f>('Send comm performance'!M56+'Recv comm performance'!M56)/2</f>
        <v>0.99851060000000003</v>
      </c>
      <c r="N58" s="1">
        <f>('Send comm performance'!N56+'Recv comm performance'!N56)/2</f>
        <v>0.98680864999999995</v>
      </c>
      <c r="O58" s="1">
        <f>('Send comm performance'!O56+'Recv comm performance'!O56)/2</f>
        <v>2.8361700000000004E-2</v>
      </c>
      <c r="P58" s="1">
        <f>('Send comm performance'!P56+'Recv comm performance'!P56)/2</f>
        <v>2.3683550000000001E-2</v>
      </c>
      <c r="Q58" s="1">
        <f>('Send comm performance'!Q56+'Recv comm performance'!Q56)/2</f>
        <v>0</v>
      </c>
      <c r="R58" s="1">
        <f>('Send comm performance'!R56+'Recv comm performance'!R56)/2</f>
        <v>9.1781000000000001E-2</v>
      </c>
      <c r="S58" s="1">
        <f>('Send comm performance'!S56+'Recv comm performance'!S56)/2</f>
        <v>0.92633854999999998</v>
      </c>
      <c r="T58" s="1">
        <f>('Send comm performance'!T56+'Recv comm performance'!T56)/2</f>
        <v>0.8873196000000001</v>
      </c>
      <c r="U58" s="1">
        <f>('Send comm performance'!U56+'Recv comm performance'!U56)/2</f>
        <v>0.92736110000000005</v>
      </c>
      <c r="V58" s="1">
        <f>('Send comm performance'!V56+'Recv comm performance'!V56)/2</f>
        <v>0.92044775000000001</v>
      </c>
      <c r="W58" s="1">
        <f>('Send comm performance'!W56+'Recv comm performance'!W56)/2</f>
        <v>0.90434435000000002</v>
      </c>
      <c r="X58" s="1">
        <f>('Send comm performance'!X56+'Recv comm performance'!X56)/2</f>
        <v>1.0825835500000001</v>
      </c>
      <c r="Y58" s="1">
        <f>('Send comm performance'!Y56+'Recv comm performance'!Y56)/2</f>
        <v>0.9110298</v>
      </c>
      <c r="Z58" s="1">
        <f>('Send comm performance'!Z56+'Recv comm performance'!Z56)/2</f>
        <v>0.99392379999999991</v>
      </c>
      <c r="AA58" s="1">
        <f>('Send comm performance'!AA56+'Recv comm performance'!AA56)/2</f>
        <v>1.4806343499999999</v>
      </c>
      <c r="AB58" s="1">
        <f>('Send comm performance'!AB56+'Recv comm performance'!AB56)/2</f>
        <v>1.2943478499999999</v>
      </c>
    </row>
    <row r="59" spans="1:28" x14ac:dyDescent="0.25">
      <c r="A59" s="8" t="s">
        <v>106</v>
      </c>
      <c r="B59" s="8" t="s">
        <v>93</v>
      </c>
      <c r="C59" s="1">
        <f>('Send comm performance'!C57+'Recv comm performance'!C57)/2</f>
        <v>0.92614390000000002</v>
      </c>
      <c r="D59" s="1">
        <f>('Send comm performance'!D57+'Recv comm performance'!D57)/2</f>
        <v>0.89945184999999994</v>
      </c>
      <c r="E59" s="1">
        <f>('Send comm performance'!E57+'Recv comm performance'!E57)/2</f>
        <v>0.90378605000000001</v>
      </c>
      <c r="F59" s="1">
        <f>('Send comm performance'!F57+'Recv comm performance'!F57)/2</f>
        <v>0.91418515</v>
      </c>
      <c r="G59" s="1">
        <f>('Send comm performance'!G57+'Recv comm performance'!G57)/2</f>
        <v>0.89209340000000004</v>
      </c>
      <c r="H59" s="1">
        <f>('Send comm performance'!H57+'Recv comm performance'!H57)/2</f>
        <v>0.92000915000000005</v>
      </c>
      <c r="I59" s="1">
        <f>('Send comm performance'!I57+'Recv comm performance'!I57)/2</f>
        <v>0.95484710000000006</v>
      </c>
      <c r="J59" s="1">
        <f>('Send comm performance'!J57+'Recv comm performance'!J57)/2</f>
        <v>0.94269164999999999</v>
      </c>
      <c r="K59" s="1">
        <f>('Send comm performance'!K57+'Recv comm performance'!K57)/2</f>
        <v>0.9017849</v>
      </c>
      <c r="L59" s="1">
        <f>('Send comm performance'!L57+'Recv comm performance'!L57)/2</f>
        <v>0.89457735000000005</v>
      </c>
      <c r="M59" s="1">
        <f>('Send comm performance'!M57+'Recv comm performance'!M57)/2</f>
        <v>0.89599144999999991</v>
      </c>
      <c r="N59" s="1">
        <f>('Send comm performance'!N57+'Recv comm performance'!N57)/2</f>
        <v>0.93255690000000002</v>
      </c>
      <c r="O59" s="1">
        <f>('Send comm performance'!O57+'Recv comm performance'!O57)/2</f>
        <v>2.7995599999999999E-2</v>
      </c>
      <c r="P59" s="1">
        <f>('Send comm performance'!P57+'Recv comm performance'!P57)/2</f>
        <v>3.4715299999999998E-2</v>
      </c>
      <c r="Q59" s="1">
        <f>('Send comm performance'!Q57+'Recv comm performance'!Q57)/2</f>
        <v>8.2544300000000001E-2</v>
      </c>
      <c r="R59" s="1">
        <f>('Send comm performance'!R57+'Recv comm performance'!R57)/2</f>
        <v>0</v>
      </c>
      <c r="S59" s="1">
        <f>('Send comm performance'!S57+'Recv comm performance'!S57)/2</f>
        <v>0.89422559999999995</v>
      </c>
      <c r="T59" s="1">
        <f>('Send comm performance'!T57+'Recv comm performance'!T57)/2</f>
        <v>0.94892844999999992</v>
      </c>
      <c r="U59" s="1">
        <f>('Send comm performance'!U57+'Recv comm performance'!U57)/2</f>
        <v>0.93025895000000003</v>
      </c>
      <c r="V59" s="1">
        <f>('Send comm performance'!V57+'Recv comm performance'!V57)/2</f>
        <v>0.95535574999999995</v>
      </c>
      <c r="W59" s="1">
        <f>('Send comm performance'!W57+'Recv comm performance'!W57)/2</f>
        <v>0.90842405000000004</v>
      </c>
      <c r="X59" s="1">
        <f>('Send comm performance'!X57+'Recv comm performance'!X57)/2</f>
        <v>1.0290222</v>
      </c>
      <c r="Y59" s="1">
        <f>('Send comm performance'!Y57+'Recv comm performance'!Y57)/2</f>
        <v>0.89843119999999999</v>
      </c>
      <c r="Z59" s="1">
        <f>('Send comm performance'!Z57+'Recv comm performance'!Z57)/2</f>
        <v>1.0325168</v>
      </c>
      <c r="AA59" s="1">
        <f>('Send comm performance'!AA57+'Recv comm performance'!AA57)/2</f>
        <v>1.5246594999999998</v>
      </c>
      <c r="AB59" s="1">
        <f>('Send comm performance'!AB57+'Recv comm performance'!AB57)/2</f>
        <v>1.3085966</v>
      </c>
    </row>
    <row r="60" spans="1:28" x14ac:dyDescent="0.25">
      <c r="A60" s="8" t="s">
        <v>107</v>
      </c>
      <c r="B60" s="8" t="s">
        <v>94</v>
      </c>
      <c r="C60" s="1">
        <f>('Send comm performance'!C58+'Recv comm performance'!C58)/2</f>
        <v>0.88793539999999993</v>
      </c>
      <c r="D60" s="1">
        <f>('Send comm performance'!D58+'Recv comm performance'!D58)/2</f>
        <v>0.93250009999999994</v>
      </c>
      <c r="E60" s="1">
        <f>('Send comm performance'!E58+'Recv comm performance'!E58)/2</f>
        <v>0.92248354999999993</v>
      </c>
      <c r="F60" s="1">
        <f>('Send comm performance'!F58+'Recv comm performance'!F58)/2</f>
        <v>0.88513649999999999</v>
      </c>
      <c r="G60" s="1">
        <f>('Send comm performance'!G58+'Recv comm performance'!G58)/2</f>
        <v>0.91678560000000009</v>
      </c>
      <c r="H60" s="1">
        <f>('Send comm performance'!H58+'Recv comm performance'!H58)/2</f>
        <v>0.90098310000000004</v>
      </c>
      <c r="I60" s="1">
        <f>('Send comm performance'!I58+'Recv comm performance'!I58)/2</f>
        <v>0.92560229999999999</v>
      </c>
      <c r="J60" s="1">
        <f>('Send comm performance'!J58+'Recv comm performance'!J58)/2</f>
        <v>0.9769884499999999</v>
      </c>
      <c r="K60" s="1">
        <f>('Send comm performance'!K58+'Recv comm performance'!K58)/2</f>
        <v>0.91743615000000001</v>
      </c>
      <c r="L60" s="1">
        <f>('Send comm performance'!L58+'Recv comm performance'!L58)/2</f>
        <v>0.96700560000000002</v>
      </c>
      <c r="M60" s="1">
        <f>('Send comm performance'!M58+'Recv comm performance'!M58)/2</f>
        <v>0.90489075000000008</v>
      </c>
      <c r="N60" s="1">
        <f>('Send comm performance'!N58+'Recv comm performance'!N58)/2</f>
        <v>0.90141080000000007</v>
      </c>
      <c r="O60" s="1">
        <f>('Send comm performance'!O58+'Recv comm performance'!O58)/2</f>
        <v>0.92603919999999995</v>
      </c>
      <c r="P60" s="1">
        <f>('Send comm performance'!P58+'Recv comm performance'!P58)/2</f>
        <v>0.92087665000000007</v>
      </c>
      <c r="Q60" s="1">
        <f>('Send comm performance'!Q58+'Recv comm performance'!Q58)/2</f>
        <v>0.9262494</v>
      </c>
      <c r="R60" s="1">
        <f>('Send comm performance'!R58+'Recv comm performance'!R58)/2</f>
        <v>0.89585329999999996</v>
      </c>
      <c r="S60" s="1">
        <f>('Send comm performance'!S58+'Recv comm performance'!S58)/2</f>
        <v>0</v>
      </c>
      <c r="T60" s="1">
        <f>('Send comm performance'!T58+'Recv comm performance'!T58)/2</f>
        <v>3.2876349999999999E-2</v>
      </c>
      <c r="U60" s="1">
        <f>('Send comm performance'!U58+'Recv comm performance'!U58)/2</f>
        <v>3.9205200000000003E-2</v>
      </c>
      <c r="V60" s="1">
        <f>('Send comm performance'!V58+'Recv comm performance'!V58)/2</f>
        <v>3.59149E-2</v>
      </c>
      <c r="W60" s="1">
        <f>('Send comm performance'!W58+'Recv comm performance'!W58)/2</f>
        <v>0.89890789999999998</v>
      </c>
      <c r="X60" s="1">
        <f>('Send comm performance'!X58+'Recv comm performance'!X58)/2</f>
        <v>1.0677812</v>
      </c>
      <c r="Y60" s="1">
        <f>('Send comm performance'!Y58+'Recv comm performance'!Y58)/2</f>
        <v>0.90706445000000002</v>
      </c>
      <c r="Z60" s="1">
        <f>('Send comm performance'!Z58+'Recv comm performance'!Z58)/2</f>
        <v>1.0048062499999999</v>
      </c>
      <c r="AA60" s="1">
        <f>('Send comm performance'!AA58+'Recv comm performance'!AA58)/2</f>
        <v>1.5659765000000001</v>
      </c>
      <c r="AB60" s="1">
        <f>('Send comm performance'!AB58+'Recv comm performance'!AB58)/2</f>
        <v>1.2378111000000001</v>
      </c>
    </row>
    <row r="61" spans="1:28" x14ac:dyDescent="0.25">
      <c r="A61" s="8" t="s">
        <v>107</v>
      </c>
      <c r="B61" s="8" t="s">
        <v>95</v>
      </c>
      <c r="C61" s="1">
        <f>('Send comm performance'!C59+'Recv comm performance'!C59)/2</f>
        <v>0.89818100000000001</v>
      </c>
      <c r="D61" s="1">
        <f>('Send comm performance'!D59+'Recv comm performance'!D59)/2</f>
        <v>0.89970159999999999</v>
      </c>
      <c r="E61" s="1">
        <f>('Send comm performance'!E59+'Recv comm performance'!E59)/2</f>
        <v>0.88538289999999997</v>
      </c>
      <c r="F61" s="1">
        <f>('Send comm performance'!F59+'Recv comm performance'!F59)/2</f>
        <v>0.91756104999999999</v>
      </c>
      <c r="G61" s="1">
        <f>('Send comm performance'!G59+'Recv comm performance'!G59)/2</f>
        <v>0.89639629999999992</v>
      </c>
      <c r="H61" s="1">
        <f>('Send comm performance'!H59+'Recv comm performance'!H59)/2</f>
        <v>0.9148598</v>
      </c>
      <c r="I61" s="1">
        <f>('Send comm performance'!I59+'Recv comm performance'!I59)/2</f>
        <v>0.94273650000000009</v>
      </c>
      <c r="J61" s="1">
        <f>('Send comm performance'!J59+'Recv comm performance'!J59)/2</f>
        <v>0.96084330000000007</v>
      </c>
      <c r="K61" s="1">
        <f>('Send comm performance'!K59+'Recv comm performance'!K59)/2</f>
        <v>0.91206359999999997</v>
      </c>
      <c r="L61" s="1">
        <f>('Send comm performance'!L59+'Recv comm performance'!L59)/2</f>
        <v>0.94838880000000003</v>
      </c>
      <c r="M61" s="1">
        <f>('Send comm performance'!M59+'Recv comm performance'!M59)/2</f>
        <v>0.92000210000000004</v>
      </c>
      <c r="N61" s="1">
        <f>('Send comm performance'!N59+'Recv comm performance'!N59)/2</f>
        <v>0.97414314999999996</v>
      </c>
      <c r="O61" s="1">
        <f>('Send comm performance'!O59+'Recv comm performance'!O59)/2</f>
        <v>0.95598745000000007</v>
      </c>
      <c r="P61" s="1">
        <f>('Send comm performance'!P59+'Recv comm performance'!P59)/2</f>
        <v>0.92888999999999999</v>
      </c>
      <c r="Q61" s="1">
        <f>('Send comm performance'!Q59+'Recv comm performance'!Q59)/2</f>
        <v>0.88918015000000006</v>
      </c>
      <c r="R61" s="1">
        <f>('Send comm performance'!R59+'Recv comm performance'!R59)/2</f>
        <v>0.95262195000000005</v>
      </c>
      <c r="S61" s="1">
        <f>('Send comm performance'!S59+'Recv comm performance'!S59)/2</f>
        <v>3.2858350000000001E-2</v>
      </c>
      <c r="T61" s="1">
        <f>('Send comm performance'!T59+'Recv comm performance'!T59)/2</f>
        <v>0</v>
      </c>
      <c r="U61" s="1">
        <f>('Send comm performance'!U59+'Recv comm performance'!U59)/2</f>
        <v>2.9076899999999999E-2</v>
      </c>
      <c r="V61" s="1">
        <f>('Send comm performance'!V59+'Recv comm performance'!V59)/2</f>
        <v>3.3614499999999999E-2</v>
      </c>
      <c r="W61" s="1">
        <f>('Send comm performance'!W59+'Recv comm performance'!W59)/2</f>
        <v>0.90640190000000009</v>
      </c>
      <c r="X61" s="1">
        <f>('Send comm performance'!X59+'Recv comm performance'!X59)/2</f>
        <v>1.0587443000000001</v>
      </c>
      <c r="Y61" s="1">
        <f>('Send comm performance'!Y59+'Recv comm performance'!Y59)/2</f>
        <v>0.90703964999999998</v>
      </c>
      <c r="Z61" s="1">
        <f>('Send comm performance'!Z59+'Recv comm performance'!Z59)/2</f>
        <v>1.1133983000000001</v>
      </c>
      <c r="AA61" s="1">
        <f>('Send comm performance'!AA59+'Recv comm performance'!AA59)/2</f>
        <v>1.59445915</v>
      </c>
      <c r="AB61" s="1">
        <f>('Send comm performance'!AB59+'Recv comm performance'!AB59)/2</f>
        <v>1.2649667</v>
      </c>
    </row>
    <row r="62" spans="1:28" x14ac:dyDescent="0.25">
      <c r="A62" s="8" t="s">
        <v>107</v>
      </c>
      <c r="B62" s="8" t="s">
        <v>96</v>
      </c>
      <c r="C62" s="1">
        <f>('Send comm performance'!C60+'Recv comm performance'!C60)/2</f>
        <v>0.90078259999999999</v>
      </c>
      <c r="D62" s="1">
        <f>('Send comm performance'!D60+'Recv comm performance'!D60)/2</f>
        <v>0.90893099999999993</v>
      </c>
      <c r="E62" s="1">
        <f>('Send comm performance'!E60+'Recv comm performance'!E60)/2</f>
        <v>0.90888630000000004</v>
      </c>
      <c r="F62" s="1">
        <f>('Send comm performance'!F60+'Recv comm performance'!F60)/2</f>
        <v>0.89984810000000004</v>
      </c>
      <c r="G62" s="1">
        <f>('Send comm performance'!G60+'Recv comm performance'!G60)/2</f>
        <v>0.92274870000000009</v>
      </c>
      <c r="H62" s="1">
        <f>('Send comm performance'!H60+'Recv comm performance'!H60)/2</f>
        <v>0.94752789999999998</v>
      </c>
      <c r="I62" s="1">
        <f>('Send comm performance'!I60+'Recv comm performance'!I60)/2</f>
        <v>0.93828475</v>
      </c>
      <c r="J62" s="1">
        <f>('Send comm performance'!J60+'Recv comm performance'!J60)/2</f>
        <v>0.96684870000000001</v>
      </c>
      <c r="K62" s="1">
        <f>('Send comm performance'!K60+'Recv comm performance'!K60)/2</f>
        <v>0.90725060000000002</v>
      </c>
      <c r="L62" s="1">
        <f>('Send comm performance'!L60+'Recv comm performance'!L60)/2</f>
        <v>0.8940766</v>
      </c>
      <c r="M62" s="1">
        <f>('Send comm performance'!M60+'Recv comm performance'!M60)/2</f>
        <v>0.97876760000000007</v>
      </c>
      <c r="N62" s="1">
        <f>('Send comm performance'!N60+'Recv comm performance'!N60)/2</f>
        <v>0.96125605000000003</v>
      </c>
      <c r="O62" s="1">
        <f>('Send comm performance'!O60+'Recv comm performance'!O60)/2</f>
        <v>0.91501509999999997</v>
      </c>
      <c r="P62" s="1">
        <f>('Send comm performance'!P60+'Recv comm performance'!P60)/2</f>
        <v>0.94493780000000005</v>
      </c>
      <c r="Q62" s="1">
        <f>('Send comm performance'!Q60+'Recv comm performance'!Q60)/2</f>
        <v>0.92598389999999997</v>
      </c>
      <c r="R62" s="1">
        <f>('Send comm performance'!R60+'Recv comm performance'!R60)/2</f>
        <v>0.93199220000000005</v>
      </c>
      <c r="S62" s="1">
        <f>('Send comm performance'!S60+'Recv comm performance'!S60)/2</f>
        <v>3.4722650000000001E-2</v>
      </c>
      <c r="T62" s="1">
        <f>('Send comm performance'!T60+'Recv comm performance'!T60)/2</f>
        <v>2.9065399999999998E-2</v>
      </c>
      <c r="U62" s="1">
        <f>('Send comm performance'!U60+'Recv comm performance'!U60)/2</f>
        <v>0</v>
      </c>
      <c r="V62" s="1">
        <f>('Send comm performance'!V60+'Recv comm performance'!V60)/2</f>
        <v>2.8310200000000001E-2</v>
      </c>
      <c r="W62" s="1">
        <f>('Send comm performance'!W60+'Recv comm performance'!W60)/2</f>
        <v>0.9356371</v>
      </c>
      <c r="X62" s="1">
        <f>('Send comm performance'!X60+'Recv comm performance'!X60)/2</f>
        <v>1.0498794</v>
      </c>
      <c r="Y62" s="1">
        <f>('Send comm performance'!Y60+'Recv comm performance'!Y60)/2</f>
        <v>0.9220526</v>
      </c>
      <c r="Z62" s="1">
        <f>('Send comm performance'!Z60+'Recv comm performance'!Z60)/2</f>
        <v>1.0295804500000001</v>
      </c>
      <c r="AA62" s="1">
        <f>('Send comm performance'!AA60+'Recv comm performance'!AA60)/2</f>
        <v>1.54136575</v>
      </c>
      <c r="AB62" s="1">
        <f>('Send comm performance'!AB60+'Recv comm performance'!AB60)/2</f>
        <v>1.24116505</v>
      </c>
    </row>
    <row r="63" spans="1:28" x14ac:dyDescent="0.25">
      <c r="A63" s="8" t="s">
        <v>107</v>
      </c>
      <c r="B63" s="8" t="s">
        <v>97</v>
      </c>
      <c r="C63" s="1">
        <f>('Send comm performance'!C61+'Recv comm performance'!C61)/2</f>
        <v>0.92294609999999999</v>
      </c>
      <c r="D63" s="1">
        <f>('Send comm performance'!D61+'Recv comm performance'!D61)/2</f>
        <v>0.88823649999999998</v>
      </c>
      <c r="E63" s="1">
        <f>('Send comm performance'!E61+'Recv comm performance'!E61)/2</f>
        <v>0.92252394999999998</v>
      </c>
      <c r="F63" s="1">
        <f>('Send comm performance'!F61+'Recv comm performance'!F61)/2</f>
        <v>0.90305164999999998</v>
      </c>
      <c r="G63" s="1">
        <f>('Send comm performance'!G61+'Recv comm performance'!G61)/2</f>
        <v>0.96972695000000009</v>
      </c>
      <c r="H63" s="1">
        <f>('Send comm performance'!H61+'Recv comm performance'!H61)/2</f>
        <v>0.95413585000000001</v>
      </c>
      <c r="I63" s="1">
        <f>('Send comm performance'!I61+'Recv comm performance'!I61)/2</f>
        <v>0.90578175000000005</v>
      </c>
      <c r="J63" s="1">
        <f>('Send comm performance'!J61+'Recv comm performance'!J61)/2</f>
        <v>0.89726039999999996</v>
      </c>
      <c r="K63" s="1">
        <f>('Send comm performance'!K61+'Recv comm performance'!K61)/2</f>
        <v>0.94153534999999999</v>
      </c>
      <c r="L63" s="1">
        <f>('Send comm performance'!L61+'Recv comm performance'!L61)/2</f>
        <v>0.97400259999999994</v>
      </c>
      <c r="M63" s="1">
        <f>('Send comm performance'!M61+'Recv comm performance'!M61)/2</f>
        <v>0.89026735000000001</v>
      </c>
      <c r="N63" s="1">
        <f>('Send comm performance'!N61+'Recv comm performance'!N61)/2</f>
        <v>0.99936400000000003</v>
      </c>
      <c r="O63" s="1">
        <f>('Send comm performance'!O61+'Recv comm performance'!O61)/2</f>
        <v>0.97205969999999997</v>
      </c>
      <c r="P63" s="1">
        <f>('Send comm performance'!P61+'Recv comm performance'!P61)/2</f>
        <v>0.94766839999999997</v>
      </c>
      <c r="Q63" s="1">
        <f>('Send comm performance'!Q61+'Recv comm performance'!Q61)/2</f>
        <v>0.91888164999999999</v>
      </c>
      <c r="R63" s="1">
        <f>('Send comm performance'!R61+'Recv comm performance'!R61)/2</f>
        <v>0.95868884999999993</v>
      </c>
      <c r="S63" s="1">
        <f>('Send comm performance'!S61+'Recv comm performance'!S61)/2</f>
        <v>2.3304200000000001E-2</v>
      </c>
      <c r="T63" s="1">
        <f>('Send comm performance'!T61+'Recv comm performance'!T61)/2</f>
        <v>3.3601550000000001E-2</v>
      </c>
      <c r="U63" s="1">
        <f>('Send comm performance'!U61+'Recv comm performance'!U61)/2</f>
        <v>2.8306250000000002E-2</v>
      </c>
      <c r="V63" s="1">
        <f>('Send comm performance'!V61+'Recv comm performance'!V61)/2</f>
        <v>0</v>
      </c>
      <c r="W63" s="1">
        <f>('Send comm performance'!W61+'Recv comm performance'!W61)/2</f>
        <v>0.89434334999999998</v>
      </c>
      <c r="X63" s="1">
        <f>('Send comm performance'!X61+'Recv comm performance'!X61)/2</f>
        <v>1.0433376000000001</v>
      </c>
      <c r="Y63" s="1">
        <f>('Send comm performance'!Y61+'Recv comm performance'!Y61)/2</f>
        <v>0.93268854999999995</v>
      </c>
      <c r="Z63" s="1">
        <f>('Send comm performance'!Z61+'Recv comm performance'!Z61)/2</f>
        <v>1.10387145</v>
      </c>
      <c r="AA63" s="1">
        <f>('Send comm performance'!AA61+'Recv comm performance'!AA61)/2</f>
        <v>1.4831257</v>
      </c>
      <c r="AB63" s="1">
        <f>('Send comm performance'!AB61+'Recv comm performance'!AB61)/2</f>
        <v>1.27989515</v>
      </c>
    </row>
    <row r="64" spans="1:28" x14ac:dyDescent="0.25">
      <c r="A64" s="8" t="s">
        <v>108</v>
      </c>
      <c r="B64" s="8" t="s">
        <v>98</v>
      </c>
      <c r="C64" s="1">
        <f>('Send comm performance'!C62+'Recv comm performance'!C62)/2</f>
        <v>0.88749515000000001</v>
      </c>
      <c r="D64" s="1">
        <f>('Send comm performance'!D62+'Recv comm performance'!D62)/2</f>
        <v>0.89057864999999992</v>
      </c>
      <c r="E64" s="1">
        <f>('Send comm performance'!E62+'Recv comm performance'!E62)/2</f>
        <v>0.88745019999999997</v>
      </c>
      <c r="F64" s="1">
        <f>('Send comm performance'!F62+'Recv comm performance'!F62)/2</f>
        <v>0.8913639499999999</v>
      </c>
      <c r="G64" s="1">
        <f>('Send comm performance'!G62+'Recv comm performance'!G62)/2</f>
        <v>0.91329529999999992</v>
      </c>
      <c r="H64" s="1">
        <f>('Send comm performance'!H62+'Recv comm performance'!H62)/2</f>
        <v>0.90228759999999997</v>
      </c>
      <c r="I64" s="1">
        <f>('Send comm performance'!I62+'Recv comm performance'!I62)/2</f>
        <v>0.91629304999999994</v>
      </c>
      <c r="J64" s="1">
        <f>('Send comm performance'!J62+'Recv comm performance'!J62)/2</f>
        <v>0.88965760000000005</v>
      </c>
      <c r="K64" s="1">
        <f>('Send comm performance'!K62+'Recv comm performance'!K62)/2</f>
        <v>0.93881000000000003</v>
      </c>
      <c r="L64" s="1">
        <f>('Send comm performance'!L62+'Recv comm performance'!L62)/2</f>
        <v>0.92397974999999999</v>
      </c>
      <c r="M64" s="1">
        <f>('Send comm performance'!M62+'Recv comm performance'!M62)/2</f>
        <v>0.91678035000000002</v>
      </c>
      <c r="N64" s="1">
        <f>('Send comm performance'!N62+'Recv comm performance'!N62)/2</f>
        <v>0.90101245000000008</v>
      </c>
      <c r="O64" s="1">
        <f>('Send comm performance'!O62+'Recv comm performance'!O62)/2</f>
        <v>0.9405502</v>
      </c>
      <c r="P64" s="1">
        <f>('Send comm performance'!P62+'Recv comm performance'!P62)/2</f>
        <v>0.90683184999999999</v>
      </c>
      <c r="Q64" s="1">
        <f>('Send comm performance'!Q62+'Recv comm performance'!Q62)/2</f>
        <v>0.90993795</v>
      </c>
      <c r="R64" s="1">
        <f>('Send comm performance'!R62+'Recv comm performance'!R62)/2</f>
        <v>0.91811419999999999</v>
      </c>
      <c r="S64" s="1">
        <f>('Send comm performance'!S62+'Recv comm performance'!S62)/2</f>
        <v>0.9061072</v>
      </c>
      <c r="T64" s="1">
        <f>('Send comm performance'!T62+'Recv comm performance'!T62)/2</f>
        <v>0.90961780000000003</v>
      </c>
      <c r="U64" s="1">
        <f>('Send comm performance'!U62+'Recv comm performance'!U62)/2</f>
        <v>0.93325855000000002</v>
      </c>
      <c r="V64" s="1">
        <f>('Send comm performance'!V62+'Recv comm performance'!V62)/2</f>
        <v>0.89545910000000006</v>
      </c>
      <c r="W64" s="1">
        <f>('Send comm performance'!W62+'Recv comm performance'!W62)/2</f>
        <v>0</v>
      </c>
      <c r="X64" s="1">
        <f>('Send comm performance'!X62+'Recv comm performance'!X62)/2</f>
        <v>8.05752E-2</v>
      </c>
      <c r="Y64" s="1">
        <f>('Send comm performance'!Y62+'Recv comm performance'!Y62)/2</f>
        <v>0.88596070000000005</v>
      </c>
      <c r="Z64" s="1">
        <f>('Send comm performance'!Z62+'Recv comm performance'!Z62)/2</f>
        <v>0.96427715000000003</v>
      </c>
      <c r="AA64" s="1">
        <f>('Send comm performance'!AA62+'Recv comm performance'!AA62)/2</f>
        <v>1.6057505500000002</v>
      </c>
      <c r="AB64" s="1">
        <f>('Send comm performance'!AB62+'Recv comm performance'!AB62)/2</f>
        <v>1.3784201</v>
      </c>
    </row>
    <row r="65" spans="1:28" x14ac:dyDescent="0.25">
      <c r="A65" s="8" t="s">
        <v>108</v>
      </c>
      <c r="B65" s="8" t="s">
        <v>99</v>
      </c>
      <c r="C65" s="1">
        <f>('Send comm performance'!C63+'Recv comm performance'!C63)/2</f>
        <v>1.0539782</v>
      </c>
      <c r="D65" s="1">
        <f>('Send comm performance'!D63+'Recv comm performance'!D63)/2</f>
        <v>1.00177205</v>
      </c>
      <c r="E65" s="1">
        <f>('Send comm performance'!E63+'Recv comm performance'!E63)/2</f>
        <v>0.98472775000000001</v>
      </c>
      <c r="F65" s="1">
        <f>('Send comm performance'!F63+'Recv comm performance'!F63)/2</f>
        <v>1.0192033999999999</v>
      </c>
      <c r="G65" s="1">
        <f>('Send comm performance'!G63+'Recv comm performance'!G63)/2</f>
        <v>1.0100845000000001</v>
      </c>
      <c r="H65" s="1">
        <f>('Send comm performance'!H63+'Recv comm performance'!H63)/2</f>
        <v>1.0176353499999999</v>
      </c>
      <c r="I65" s="1">
        <f>('Send comm performance'!I63+'Recv comm performance'!I63)/2</f>
        <v>1.03707075</v>
      </c>
      <c r="J65" s="1">
        <f>('Send comm performance'!J63+'Recv comm performance'!J63)/2</f>
        <v>1.0350093</v>
      </c>
      <c r="K65" s="1">
        <f>('Send comm performance'!K63+'Recv comm performance'!K63)/2</f>
        <v>1.0664596500000001</v>
      </c>
      <c r="L65" s="1">
        <f>('Send comm performance'!L63+'Recv comm performance'!L63)/2</f>
        <v>1.0236587500000001</v>
      </c>
      <c r="M65" s="1">
        <f>('Send comm performance'!M63+'Recv comm performance'!M63)/2</f>
        <v>1.0139099499999999</v>
      </c>
      <c r="N65" s="1">
        <f>('Send comm performance'!N63+'Recv comm performance'!N63)/2</f>
        <v>1.0902655000000001</v>
      </c>
      <c r="O65" s="1">
        <f>('Send comm performance'!O63+'Recv comm performance'!O63)/2</f>
        <v>1.0389064499999998</v>
      </c>
      <c r="P65" s="1">
        <f>('Send comm performance'!P63+'Recv comm performance'!P63)/2</f>
        <v>1.0344801000000001</v>
      </c>
      <c r="Q65" s="1">
        <f>('Send comm performance'!Q63+'Recv comm performance'!Q63)/2</f>
        <v>1.0874182999999999</v>
      </c>
      <c r="R65" s="1">
        <f>('Send comm performance'!R63+'Recv comm performance'!R63)/2</f>
        <v>1.0355424499999999</v>
      </c>
      <c r="S65" s="1">
        <f>('Send comm performance'!S63+'Recv comm performance'!S63)/2</f>
        <v>1.0645031999999999</v>
      </c>
      <c r="T65" s="1">
        <f>('Send comm performance'!T63+'Recv comm performance'!T63)/2</f>
        <v>1.0623718499999999</v>
      </c>
      <c r="U65" s="1">
        <f>('Send comm performance'!U63+'Recv comm performance'!U63)/2</f>
        <v>1.0511716500000001</v>
      </c>
      <c r="V65" s="1">
        <f>('Send comm performance'!V63+'Recv comm performance'!V63)/2</f>
        <v>1.0470633499999999</v>
      </c>
      <c r="W65" s="1">
        <f>('Send comm performance'!W63+'Recv comm performance'!W63)/2</f>
        <v>8.0835699999999996E-2</v>
      </c>
      <c r="X65" s="1">
        <f>('Send comm performance'!X63+'Recv comm performance'!X63)/2</f>
        <v>0</v>
      </c>
      <c r="Y65" s="1">
        <f>('Send comm performance'!Y63+'Recv comm performance'!Y63)/2</f>
        <v>1.15914345</v>
      </c>
      <c r="Z65" s="1">
        <f>('Send comm performance'!Z63+'Recv comm performance'!Z63)/2</f>
        <v>1.3124456499999999</v>
      </c>
      <c r="AA65" s="1">
        <f>('Send comm performance'!AA63+'Recv comm performance'!AA63)/2</f>
        <v>1.4582714000000001</v>
      </c>
      <c r="AB65" s="1">
        <f>('Send comm performance'!AB63+'Recv comm performance'!AB63)/2</f>
        <v>1.34153795</v>
      </c>
    </row>
    <row r="66" spans="1:28" x14ac:dyDescent="0.25">
      <c r="A66" s="8" t="s">
        <v>109</v>
      </c>
      <c r="B66" s="8" t="s">
        <v>100</v>
      </c>
      <c r="C66" s="1">
        <f>('Send comm performance'!C64+'Recv comm performance'!C64)/2</f>
        <v>0.92105510000000002</v>
      </c>
      <c r="D66" s="1">
        <f>('Send comm performance'!D64+'Recv comm performance'!D64)/2</f>
        <v>0.88503204999999996</v>
      </c>
      <c r="E66" s="1">
        <f>('Send comm performance'!E64+'Recv comm performance'!E64)/2</f>
        <v>0.88496115000000009</v>
      </c>
      <c r="F66" s="1">
        <f>('Send comm performance'!F64+'Recv comm performance'!F64)/2</f>
        <v>0.88625264999999998</v>
      </c>
      <c r="G66" s="1">
        <f>('Send comm performance'!G64+'Recv comm performance'!G64)/2</f>
        <v>0.88802334999999999</v>
      </c>
      <c r="H66" s="1">
        <f>('Send comm performance'!H64+'Recv comm performance'!H64)/2</f>
        <v>0.92009465000000001</v>
      </c>
      <c r="I66" s="1">
        <f>('Send comm performance'!I64+'Recv comm performance'!I64)/2</f>
        <v>0.89213264999999997</v>
      </c>
      <c r="J66" s="1">
        <f>('Send comm performance'!J64+'Recv comm performance'!J64)/2</f>
        <v>0.92084169999999999</v>
      </c>
      <c r="K66" s="1">
        <f>('Send comm performance'!K64+'Recv comm performance'!K64)/2</f>
        <v>0.89134944999999999</v>
      </c>
      <c r="L66" s="1">
        <f>('Send comm performance'!L64+'Recv comm performance'!L64)/2</f>
        <v>0.91348649999999998</v>
      </c>
      <c r="M66" s="1">
        <f>('Send comm performance'!M64+'Recv comm performance'!M64)/2</f>
        <v>0.88796089999999994</v>
      </c>
      <c r="N66" s="1">
        <f>('Send comm performance'!N64+'Recv comm performance'!N64)/2</f>
        <v>0.89423549999999996</v>
      </c>
      <c r="O66" s="1">
        <f>('Send comm performance'!O64+'Recv comm performance'!O64)/2</f>
        <v>0.91445805000000002</v>
      </c>
      <c r="P66" s="1">
        <f>('Send comm performance'!P64+'Recv comm performance'!P64)/2</f>
        <v>0.90189830000000004</v>
      </c>
      <c r="Q66" s="1">
        <f>('Send comm performance'!Q64+'Recv comm performance'!Q64)/2</f>
        <v>0.92039104999999999</v>
      </c>
      <c r="R66" s="1">
        <f>('Send comm performance'!R64+'Recv comm performance'!R64)/2</f>
        <v>0.90972005</v>
      </c>
      <c r="S66" s="1">
        <f>('Send comm performance'!S64+'Recv comm performance'!S64)/2</f>
        <v>0.90651775000000001</v>
      </c>
      <c r="T66" s="1">
        <f>('Send comm performance'!T64+'Recv comm performance'!T64)/2</f>
        <v>0.91183004999999995</v>
      </c>
      <c r="U66" s="1">
        <f>('Send comm performance'!U64+'Recv comm performance'!U64)/2</f>
        <v>0.91589809999999994</v>
      </c>
      <c r="V66" s="1">
        <f>('Send comm performance'!V64+'Recv comm performance'!V64)/2</f>
        <v>0.9427141</v>
      </c>
      <c r="W66" s="1">
        <f>('Send comm performance'!W64+'Recv comm performance'!W64)/2</f>
        <v>0.88547109999999996</v>
      </c>
      <c r="X66" s="1">
        <f>('Send comm performance'!X64+'Recv comm performance'!X64)/2</f>
        <v>1.1571871</v>
      </c>
      <c r="Y66" s="1">
        <f>('Send comm performance'!Y64+'Recv comm performance'!Y64)/2</f>
        <v>0</v>
      </c>
      <c r="Z66" s="1">
        <f>('Send comm performance'!Z64+'Recv comm performance'!Z64)/2</f>
        <v>8.0209150000000007E-2</v>
      </c>
      <c r="AA66" s="1">
        <f>('Send comm performance'!AA64+'Recv comm performance'!AA64)/2</f>
        <v>1.5918141500000003</v>
      </c>
      <c r="AB66" s="1">
        <f>('Send comm performance'!AB64+'Recv comm performance'!AB64)/2</f>
        <v>1.3650845999999999</v>
      </c>
    </row>
    <row r="67" spans="1:28" x14ac:dyDescent="0.25">
      <c r="A67" s="8" t="s">
        <v>109</v>
      </c>
      <c r="B67" s="8" t="s">
        <v>101</v>
      </c>
      <c r="C67" s="1">
        <f>('Send comm performance'!C65+'Recv comm performance'!C65)/2</f>
        <v>1.0476388000000001</v>
      </c>
      <c r="D67" s="1">
        <f>('Send comm performance'!D65+'Recv comm performance'!D65)/2</f>
        <v>0.99766719999999998</v>
      </c>
      <c r="E67" s="1">
        <f>('Send comm performance'!E65+'Recv comm performance'!E65)/2</f>
        <v>0.98337244999999995</v>
      </c>
      <c r="F67" s="1">
        <f>('Send comm performance'!F65+'Recv comm performance'!F65)/2</f>
        <v>0.99615860000000001</v>
      </c>
      <c r="G67" s="1">
        <f>('Send comm performance'!G65+'Recv comm performance'!G65)/2</f>
        <v>1.0630316500000001</v>
      </c>
      <c r="H67" s="1">
        <f>('Send comm performance'!H65+'Recv comm performance'!H65)/2</f>
        <v>1.0440787</v>
      </c>
      <c r="I67" s="1">
        <f>('Send comm performance'!I65+'Recv comm performance'!I65)/2</f>
        <v>0.97943150000000001</v>
      </c>
      <c r="J67" s="1">
        <f>('Send comm performance'!J65+'Recv comm performance'!J65)/2</f>
        <v>1.0524944999999999</v>
      </c>
      <c r="K67" s="1">
        <f>('Send comm performance'!K65+'Recv comm performance'!K65)/2</f>
        <v>1.0384874500000001</v>
      </c>
      <c r="L67" s="1">
        <f>('Send comm performance'!L65+'Recv comm performance'!L65)/2</f>
        <v>1.0328823499999999</v>
      </c>
      <c r="M67" s="1">
        <f>('Send comm performance'!M65+'Recv comm performance'!M65)/2</f>
        <v>0.97917129999999997</v>
      </c>
      <c r="N67" s="1">
        <f>('Send comm performance'!N65+'Recv comm performance'!N65)/2</f>
        <v>1.0787787500000001</v>
      </c>
      <c r="O67" s="1">
        <f>('Send comm performance'!O65+'Recv comm performance'!O65)/2</f>
        <v>1.0110480499999999</v>
      </c>
      <c r="P67" s="1">
        <f>('Send comm performance'!P65+'Recv comm performance'!P65)/2</f>
        <v>1.0524776999999998</v>
      </c>
      <c r="Q67" s="1">
        <f>('Send comm performance'!Q65+'Recv comm performance'!Q65)/2</f>
        <v>1.00769365</v>
      </c>
      <c r="R67" s="1">
        <f>('Send comm performance'!R65+'Recv comm performance'!R65)/2</f>
        <v>1.0365461</v>
      </c>
      <c r="S67" s="1">
        <f>('Send comm performance'!S65+'Recv comm performance'!S65)/2</f>
        <v>1.0057169500000001</v>
      </c>
      <c r="T67" s="1">
        <f>('Send comm performance'!T65+'Recv comm performance'!T65)/2</f>
        <v>1.1211334500000001</v>
      </c>
      <c r="U67" s="1">
        <f>('Send comm performance'!U65+'Recv comm performance'!U65)/2</f>
        <v>1.0385898500000001</v>
      </c>
      <c r="V67" s="1">
        <f>('Send comm performance'!V65+'Recv comm performance'!V65)/2</f>
        <v>1.1047633000000001</v>
      </c>
      <c r="W67" s="1">
        <f>('Send comm performance'!W65+'Recv comm performance'!W65)/2</f>
        <v>0.95787034999999998</v>
      </c>
      <c r="X67" s="1">
        <f>('Send comm performance'!X65+'Recv comm performance'!X65)/2</f>
        <v>1.3123404999999999</v>
      </c>
      <c r="Y67" s="1">
        <f>('Send comm performance'!Y65+'Recv comm performance'!Y65)/2</f>
        <v>7.5234450000000008E-2</v>
      </c>
      <c r="Z67" s="1">
        <f>('Send comm performance'!Z65+'Recv comm performance'!Z65)/2</f>
        <v>0</v>
      </c>
      <c r="AA67" s="1">
        <f>('Send comm performance'!AA65+'Recv comm performance'!AA65)/2</f>
        <v>1.4487209000000001</v>
      </c>
      <c r="AB67" s="1">
        <f>('Send comm performance'!AB65+'Recv comm performance'!AB65)/2</f>
        <v>1.3093349000000001</v>
      </c>
    </row>
    <row r="68" spans="1:28" x14ac:dyDescent="0.25">
      <c r="A68" s="8" t="s">
        <v>122</v>
      </c>
      <c r="B68" s="8" t="s">
        <v>102</v>
      </c>
      <c r="C68" s="1">
        <f>('Send comm performance'!C66+'Recv comm performance'!C66)/2</f>
        <v>1.6208421999999998</v>
      </c>
      <c r="D68" s="1">
        <f>('Send comm performance'!D66+'Recv comm performance'!D66)/2</f>
        <v>1.6286620999999999</v>
      </c>
      <c r="E68" s="1">
        <f>('Send comm performance'!E66+'Recv comm performance'!E66)/2</f>
        <v>1.5925008</v>
      </c>
      <c r="F68" s="1">
        <f>('Send comm performance'!F66+'Recv comm performance'!F66)/2</f>
        <v>1.6033772499999999</v>
      </c>
      <c r="G68" s="1">
        <f>('Send comm performance'!G66+'Recv comm performance'!G66)/2</f>
        <v>1.5120973499999999</v>
      </c>
      <c r="H68" s="1">
        <f>('Send comm performance'!H66+'Recv comm performance'!H66)/2</f>
        <v>1.4916425</v>
      </c>
      <c r="I68" s="1">
        <f>('Send comm performance'!I66+'Recv comm performance'!I66)/2</f>
        <v>1.6083880500000001</v>
      </c>
      <c r="J68" s="1">
        <f>('Send comm performance'!J66+'Recv comm performance'!J66)/2</f>
        <v>1.4573257000000002</v>
      </c>
      <c r="K68" s="1">
        <f>('Send comm performance'!K66+'Recv comm performance'!K66)/2</f>
        <v>1.5197638499999999</v>
      </c>
      <c r="L68" s="1">
        <f>('Send comm performance'!L66+'Recv comm performance'!L66)/2</f>
        <v>1.5718670000000001</v>
      </c>
      <c r="M68" s="1">
        <f>('Send comm performance'!M66+'Recv comm performance'!M66)/2</f>
        <v>1.4864185999999999</v>
      </c>
      <c r="N68" s="1">
        <f>('Send comm performance'!N66+'Recv comm performance'!N66)/2</f>
        <v>1.5068055499999999</v>
      </c>
      <c r="O68" s="1">
        <f>('Send comm performance'!O66+'Recv comm performance'!O66)/2</f>
        <v>1.5109379000000001</v>
      </c>
      <c r="P68" s="1">
        <f>('Send comm performance'!P66+'Recv comm performance'!P66)/2</f>
        <v>1.5374848999999999</v>
      </c>
      <c r="Q68" s="1">
        <f>('Send comm performance'!Q66+'Recv comm performance'!Q66)/2</f>
        <v>1.4854116500000001</v>
      </c>
      <c r="R68" s="1">
        <f>('Send comm performance'!R66+'Recv comm performance'!R66)/2</f>
        <v>1.53888695</v>
      </c>
      <c r="S68" s="1">
        <f>('Send comm performance'!S66+'Recv comm performance'!S66)/2</f>
        <v>1.5819512499999999</v>
      </c>
      <c r="T68" s="1">
        <f>('Send comm performance'!T66+'Recv comm performance'!T66)/2</f>
        <v>1.60727665</v>
      </c>
      <c r="U68" s="1">
        <f>('Send comm performance'!U66+'Recv comm performance'!U66)/2</f>
        <v>1.5560955000000001</v>
      </c>
      <c r="V68" s="1">
        <f>('Send comm performance'!V66+'Recv comm performance'!V66)/2</f>
        <v>1.4977391999999998</v>
      </c>
      <c r="W68" s="1">
        <f>('Send comm performance'!W66+'Recv comm performance'!W66)/2</f>
        <v>1.6076751000000002</v>
      </c>
      <c r="X68" s="1">
        <f>('Send comm performance'!X66+'Recv comm performance'!X66)/2</f>
        <v>1.4676825999999998</v>
      </c>
      <c r="Y68" s="1">
        <f>('Send comm performance'!Y66+'Recv comm performance'!Y66)/2</f>
        <v>1.5989125</v>
      </c>
      <c r="Z68" s="1">
        <f>('Send comm performance'!Z66+'Recv comm performance'!Z66)/2</f>
        <v>1.4558960000000001</v>
      </c>
      <c r="AA68" s="1">
        <f>('Send comm performance'!AA66+'Recv comm performance'!AA66)/2</f>
        <v>0</v>
      </c>
      <c r="AB68" s="1">
        <f>('Send comm performance'!AB66+'Recv comm performance'!AB66)/2</f>
        <v>1.5375982499999998</v>
      </c>
    </row>
    <row r="69" spans="1:28" x14ac:dyDescent="0.25">
      <c r="A69" s="8" t="s">
        <v>123</v>
      </c>
      <c r="B69" s="8" t="s">
        <v>121</v>
      </c>
      <c r="C69" s="1">
        <f>('Send comm performance'!C67+'Recv comm performance'!C67)/2</f>
        <v>1.3883293000000001</v>
      </c>
      <c r="D69" s="1">
        <f>('Send comm performance'!D67+'Recv comm performance'!D67)/2</f>
        <v>1.3716599999999999</v>
      </c>
      <c r="E69" s="1">
        <f>('Send comm performance'!E67+'Recv comm performance'!E67)/2</f>
        <v>1.3817178999999999</v>
      </c>
      <c r="F69" s="1">
        <f>('Send comm performance'!F67+'Recv comm performance'!F67)/2</f>
        <v>1.37054765</v>
      </c>
      <c r="G69" s="1">
        <f>('Send comm performance'!G67+'Recv comm performance'!G67)/2</f>
        <v>1.2988412499999999</v>
      </c>
      <c r="H69" s="1">
        <f>('Send comm performance'!H67+'Recv comm performance'!H67)/2</f>
        <v>1.3049122</v>
      </c>
      <c r="I69" s="1">
        <f>('Send comm performance'!I67+'Recv comm performance'!I67)/2</f>
        <v>1.3189339499999999</v>
      </c>
      <c r="J69" s="1">
        <f>('Send comm performance'!J67+'Recv comm performance'!J67)/2</f>
        <v>1.2997543</v>
      </c>
      <c r="K69" s="1">
        <f>('Send comm performance'!K67+'Recv comm performance'!K67)/2</f>
        <v>1.3146322000000001</v>
      </c>
      <c r="L69" s="1">
        <f>('Send comm performance'!L67+'Recv comm performance'!L67)/2</f>
        <v>1.3415455999999999</v>
      </c>
      <c r="M69" s="1">
        <f>('Send comm performance'!M67+'Recv comm performance'!M67)/2</f>
        <v>1.2774186000000001</v>
      </c>
      <c r="N69" s="1">
        <f>('Send comm performance'!N67+'Recv comm performance'!N67)/2</f>
        <v>1.3127731</v>
      </c>
      <c r="O69" s="1">
        <f>('Send comm performance'!O67+'Recv comm performance'!O67)/2</f>
        <v>1.2791210500000001</v>
      </c>
      <c r="P69" s="1">
        <f>('Send comm performance'!P67+'Recv comm performance'!P67)/2</f>
        <v>1.2804839499999998</v>
      </c>
      <c r="Q69" s="1">
        <f>('Send comm performance'!Q67+'Recv comm performance'!Q67)/2</f>
        <v>1.2930092499999999</v>
      </c>
      <c r="R69" s="1">
        <f>('Send comm performance'!R67+'Recv comm performance'!R67)/2</f>
        <v>1.3165749</v>
      </c>
      <c r="S69" s="1">
        <f>('Send comm performance'!S67+'Recv comm performance'!S67)/2</f>
        <v>1.2402020499999999</v>
      </c>
      <c r="T69" s="1">
        <f>('Send comm performance'!T67+'Recv comm performance'!T67)/2</f>
        <v>1.2754386499999999</v>
      </c>
      <c r="U69" s="1">
        <f>('Send comm performance'!U67+'Recv comm performance'!U67)/2</f>
        <v>1.2503814499999999</v>
      </c>
      <c r="V69" s="1">
        <f>('Send comm performance'!V67+'Recv comm performance'!V67)/2</f>
        <v>1.2927457499999999</v>
      </c>
      <c r="W69" s="1">
        <f>('Send comm performance'!W67+'Recv comm performance'!W67)/2</f>
        <v>1.3792713999999999</v>
      </c>
      <c r="X69" s="1">
        <f>('Send comm performance'!X67+'Recv comm performance'!X67)/2</f>
        <v>1.3477055</v>
      </c>
      <c r="Y69" s="1">
        <f>('Send comm performance'!Y67+'Recv comm performance'!Y67)/2</f>
        <v>1.3709586</v>
      </c>
      <c r="Z69" s="1">
        <f>('Send comm performance'!Z67+'Recv comm performance'!Z67)/2</f>
        <v>1.3146844</v>
      </c>
      <c r="AA69" s="1">
        <f>('Send comm performance'!AA67+'Recv comm performance'!AA67)/2</f>
        <v>1.5322363000000001</v>
      </c>
      <c r="AB69" s="1">
        <f>('Send comm performance'!AB67+'Recv comm performance'!AB67)/2</f>
        <v>0</v>
      </c>
    </row>
  </sheetData>
  <mergeCells count="2">
    <mergeCell ref="B31:C32"/>
    <mergeCell ref="A1:Z1"/>
  </mergeCells>
  <conditionalFormatting sqref="C4:Z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I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AB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topLeftCell="A21" workbookViewId="0">
      <selection activeCell="C42" sqref="C42:AB67"/>
    </sheetView>
  </sheetViews>
  <sheetFormatPr defaultRowHeight="15" x14ac:dyDescent="0.25"/>
  <cols>
    <col min="2" max="2" width="9.140625" style="2"/>
    <col min="3" max="28" width="9.5703125" style="1" bestFit="1" customWidth="1"/>
  </cols>
  <sheetData>
    <row r="1" spans="2:28" s="2" customFormat="1" x14ac:dyDescent="0.25"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  <c r="AA1" s="3"/>
      <c r="AB1" s="3"/>
    </row>
    <row r="2" spans="2:28" x14ac:dyDescent="0.25">
      <c r="B2" s="2" t="s">
        <v>79</v>
      </c>
      <c r="C2" s="1">
        <v>0</v>
      </c>
      <c r="D2" s="1">
        <v>0.89121989999999995</v>
      </c>
      <c r="E2" s="1">
        <v>0.87656619999999996</v>
      </c>
      <c r="F2" s="1">
        <v>0.88018890000000005</v>
      </c>
      <c r="G2" s="1">
        <v>0.87954429999999995</v>
      </c>
      <c r="H2" s="1">
        <v>0.8760173</v>
      </c>
      <c r="I2" s="1">
        <v>0.981375</v>
      </c>
      <c r="J2" s="1">
        <v>1.86582E-2</v>
      </c>
      <c r="K2" s="1">
        <v>0.96699950000000001</v>
      </c>
      <c r="L2" s="1">
        <v>0.88814899999999997</v>
      </c>
      <c r="M2" s="1">
        <v>0.88253780000000004</v>
      </c>
      <c r="N2" s="1">
        <v>0.88026309999999997</v>
      </c>
      <c r="O2" s="1">
        <v>1.0144063999999999</v>
      </c>
      <c r="P2" s="1">
        <v>1.0379646</v>
      </c>
      <c r="Q2" s="1">
        <v>1.8409999999999999E-2</v>
      </c>
      <c r="R2" s="1">
        <v>0.91229680000000002</v>
      </c>
      <c r="S2" s="1">
        <v>0.92245460000000001</v>
      </c>
      <c r="T2" s="1">
        <v>0.88239809999999996</v>
      </c>
      <c r="U2" s="1">
        <v>0.88239500000000004</v>
      </c>
      <c r="V2" s="1">
        <v>0.95556019999999997</v>
      </c>
      <c r="W2" s="1">
        <v>1.0331391999999999</v>
      </c>
      <c r="X2" s="1">
        <v>1.8888200000000001E-2</v>
      </c>
      <c r="Y2" s="1">
        <v>0.97006269999999994</v>
      </c>
      <c r="Z2" s="1">
        <v>0.87962510000000005</v>
      </c>
    </row>
    <row r="3" spans="2:28" x14ac:dyDescent="0.25">
      <c r="B3" s="2" t="s">
        <v>80</v>
      </c>
      <c r="C3" s="1">
        <v>0.8829825</v>
      </c>
      <c r="D3" s="1">
        <v>0</v>
      </c>
      <c r="E3" s="1">
        <v>0.98271370000000002</v>
      </c>
      <c r="F3" s="1">
        <v>0.87950660000000003</v>
      </c>
      <c r="G3" s="1">
        <v>0.88162160000000001</v>
      </c>
      <c r="H3" s="1">
        <v>1.0203795</v>
      </c>
      <c r="I3" s="1">
        <v>0.88184119999999999</v>
      </c>
      <c r="J3" s="1">
        <v>0.88236619999999999</v>
      </c>
      <c r="K3" s="1">
        <v>1.8849100000000001E-2</v>
      </c>
      <c r="L3" s="1">
        <v>0.9160836</v>
      </c>
      <c r="M3" s="1">
        <v>0.90261080000000005</v>
      </c>
      <c r="N3" s="1">
        <v>0.88207049999999998</v>
      </c>
      <c r="O3" s="1">
        <v>1.0238537999999999</v>
      </c>
      <c r="P3" s="1">
        <v>1.0471017</v>
      </c>
      <c r="Q3" s="1">
        <v>0.87745620000000002</v>
      </c>
      <c r="R3" s="1">
        <v>1.9046799999999999E-2</v>
      </c>
      <c r="S3" s="1">
        <v>1.0048656</v>
      </c>
      <c r="T3" s="1">
        <v>0.88245059999999997</v>
      </c>
      <c r="U3" s="1">
        <v>0.88338970000000006</v>
      </c>
      <c r="V3" s="1">
        <v>0.95538520000000005</v>
      </c>
      <c r="W3" s="1">
        <v>1.1554513</v>
      </c>
      <c r="X3" s="1">
        <v>0.88954089999999997</v>
      </c>
      <c r="Y3" s="1">
        <v>3.82831E-2</v>
      </c>
      <c r="Z3" s="1">
        <v>0.88915730000000004</v>
      </c>
    </row>
    <row r="4" spans="2:28" x14ac:dyDescent="0.25">
      <c r="B4" s="2" t="s">
        <v>81</v>
      </c>
      <c r="C4" s="1">
        <v>0.87915520000000003</v>
      </c>
      <c r="D4" s="1">
        <v>0.91765070000000004</v>
      </c>
      <c r="E4" s="1">
        <v>0</v>
      </c>
      <c r="F4" s="1">
        <v>0.92272419999999999</v>
      </c>
      <c r="G4" s="1">
        <v>0.90785260000000001</v>
      </c>
      <c r="H4" s="1">
        <v>0.91802329999999999</v>
      </c>
      <c r="I4" s="1">
        <v>0.8753512</v>
      </c>
      <c r="J4" s="1">
        <v>0.87845229999999996</v>
      </c>
      <c r="K4" s="1">
        <v>0.91762920000000003</v>
      </c>
      <c r="L4" s="1">
        <v>3.0189000000000001E-2</v>
      </c>
      <c r="M4" s="1">
        <v>0.88318439999999998</v>
      </c>
      <c r="N4" s="1">
        <v>0.88250830000000002</v>
      </c>
      <c r="O4" s="1">
        <v>1.0287967</v>
      </c>
      <c r="P4" s="1">
        <v>1.0077518999999999</v>
      </c>
      <c r="Q4" s="1">
        <v>0.88628859999999998</v>
      </c>
      <c r="R4" s="1">
        <v>0.89536930000000003</v>
      </c>
      <c r="S4" s="1">
        <v>3.8987399999999998E-2</v>
      </c>
      <c r="T4" s="1">
        <v>0.89037390000000005</v>
      </c>
      <c r="U4" s="1">
        <v>0.8862312</v>
      </c>
      <c r="V4" s="1">
        <v>1.0096087</v>
      </c>
      <c r="W4" s="1">
        <v>1.1026773000000001</v>
      </c>
      <c r="X4" s="1">
        <v>0.88687709999999997</v>
      </c>
      <c r="Y4" s="1">
        <v>0.96891640000000001</v>
      </c>
      <c r="Z4" s="1">
        <v>2.84009E-2</v>
      </c>
    </row>
    <row r="5" spans="2:28" x14ac:dyDescent="0.25">
      <c r="B5" s="2" t="s">
        <v>82</v>
      </c>
      <c r="C5" s="1">
        <v>0.87992099999999995</v>
      </c>
      <c r="D5" s="1">
        <v>0.93950270000000002</v>
      </c>
      <c r="E5" s="1">
        <v>0.92931220000000003</v>
      </c>
      <c r="F5" s="1">
        <v>0</v>
      </c>
      <c r="G5" s="1">
        <v>0.88137560000000004</v>
      </c>
      <c r="H5" s="1">
        <v>1.0141990000000001</v>
      </c>
      <c r="I5" s="1">
        <v>0.87535289999999999</v>
      </c>
      <c r="J5" s="1">
        <v>0.87624120000000005</v>
      </c>
      <c r="K5" s="1">
        <v>0.95858670000000001</v>
      </c>
      <c r="L5" s="1">
        <v>0.96434209999999998</v>
      </c>
      <c r="M5" s="1">
        <v>1.8893699999999999E-2</v>
      </c>
      <c r="N5" s="1">
        <v>0.88401169999999996</v>
      </c>
      <c r="O5" s="1">
        <v>1.0555407999999999</v>
      </c>
      <c r="P5" s="1">
        <v>1.0878095999999999</v>
      </c>
      <c r="Q5" s="1">
        <v>0.87659960000000003</v>
      </c>
      <c r="R5" s="1">
        <v>0.98437359999999996</v>
      </c>
      <c r="S5" s="1">
        <v>0.88202380000000002</v>
      </c>
      <c r="T5" s="1">
        <v>1.9174099999999999E-2</v>
      </c>
      <c r="U5" s="1">
        <v>0.88341190000000003</v>
      </c>
      <c r="V5" s="1">
        <v>0.87672470000000002</v>
      </c>
      <c r="W5" s="1">
        <v>1.0574412</v>
      </c>
      <c r="X5" s="1">
        <v>0.87623790000000001</v>
      </c>
      <c r="Y5" s="1">
        <v>0.96709250000000002</v>
      </c>
      <c r="Z5" s="1">
        <v>0.93674710000000005</v>
      </c>
    </row>
    <row r="6" spans="2:28" x14ac:dyDescent="0.25">
      <c r="B6" s="2" t="s">
        <v>83</v>
      </c>
      <c r="C6" s="1">
        <v>0.87510469999999996</v>
      </c>
      <c r="D6" s="1">
        <v>0.88152149999999996</v>
      </c>
      <c r="E6" s="1">
        <v>0.89279169999999997</v>
      </c>
      <c r="F6" s="1">
        <v>0.87737920000000003</v>
      </c>
      <c r="G6" s="1">
        <v>0</v>
      </c>
      <c r="H6" s="1">
        <v>1.0711834</v>
      </c>
      <c r="I6" s="1">
        <v>0.87522789999999995</v>
      </c>
      <c r="J6" s="1">
        <v>0.87637880000000001</v>
      </c>
      <c r="K6" s="1">
        <v>0.93389440000000001</v>
      </c>
      <c r="L6" s="1">
        <v>0.92006350000000003</v>
      </c>
      <c r="M6" s="1">
        <v>0.88277939999999999</v>
      </c>
      <c r="N6" s="1">
        <v>1.8681300000000001E-2</v>
      </c>
      <c r="O6" s="1">
        <v>1.0036020000000001</v>
      </c>
      <c r="P6" s="1">
        <v>0.99804780000000004</v>
      </c>
      <c r="Q6" s="1">
        <v>0.87698359999999997</v>
      </c>
      <c r="R6" s="1">
        <v>0.9623256</v>
      </c>
      <c r="S6" s="1">
        <v>0.96192650000000002</v>
      </c>
      <c r="T6" s="1">
        <v>0.88288999999999995</v>
      </c>
      <c r="U6" s="1">
        <v>1.8494400000000001E-2</v>
      </c>
      <c r="V6" s="1">
        <v>0.88473270000000004</v>
      </c>
      <c r="W6" s="1">
        <v>0.99844149999999998</v>
      </c>
      <c r="X6" s="1">
        <v>0.87673710000000005</v>
      </c>
      <c r="Y6" s="1">
        <v>0.94777610000000001</v>
      </c>
      <c r="Z6" s="1">
        <v>0.91608259999999997</v>
      </c>
    </row>
    <row r="7" spans="2:28" x14ac:dyDescent="0.25">
      <c r="B7" s="2" t="s">
        <v>84</v>
      </c>
      <c r="C7" s="1">
        <v>1.0020514</v>
      </c>
      <c r="D7" s="1">
        <v>1.0229813999999999</v>
      </c>
      <c r="E7" s="1">
        <v>0.94584579999999996</v>
      </c>
      <c r="F7" s="1">
        <v>0.93993040000000005</v>
      </c>
      <c r="G7" s="1">
        <v>0.93465089999999995</v>
      </c>
      <c r="H7" s="1">
        <v>0</v>
      </c>
      <c r="I7" s="1">
        <v>1.0000926999999999</v>
      </c>
      <c r="J7" s="1">
        <v>1.0419855</v>
      </c>
      <c r="K7" s="1">
        <v>1.0695962999999999</v>
      </c>
      <c r="L7" s="1">
        <v>1.0764296</v>
      </c>
      <c r="M7" s="1">
        <v>0.9301817</v>
      </c>
      <c r="N7" s="1">
        <v>0.95069170000000003</v>
      </c>
      <c r="O7" s="1">
        <v>1.0001971999999999</v>
      </c>
      <c r="P7" s="1">
        <v>1.0701897</v>
      </c>
      <c r="Q7" s="1">
        <v>0.94006089999999998</v>
      </c>
      <c r="R7" s="1">
        <v>0.99033210000000005</v>
      </c>
      <c r="S7" s="1">
        <v>1.0354798000000001</v>
      </c>
      <c r="T7" s="1">
        <v>0.97141580000000005</v>
      </c>
      <c r="U7" s="1">
        <v>0.99020600000000003</v>
      </c>
      <c r="V7" s="1">
        <v>8.9964199999999994E-2</v>
      </c>
      <c r="W7" s="1">
        <v>1.0273981000000001</v>
      </c>
      <c r="X7" s="1">
        <v>0.93035789999999996</v>
      </c>
      <c r="Y7" s="1">
        <v>1.0401001000000001</v>
      </c>
      <c r="Z7" s="1">
        <v>1.0198754999999999</v>
      </c>
    </row>
    <row r="8" spans="2:28" x14ac:dyDescent="0.25">
      <c r="B8" s="2" t="s">
        <v>85</v>
      </c>
      <c r="C8" s="1">
        <v>0.88285369999999996</v>
      </c>
      <c r="D8" s="1">
        <v>0.94854660000000002</v>
      </c>
      <c r="E8" s="1">
        <v>0.88239219999999996</v>
      </c>
      <c r="F8" s="1">
        <v>0.88237790000000005</v>
      </c>
      <c r="G8" s="1">
        <v>0.88102480000000005</v>
      </c>
      <c r="H8" s="1">
        <v>1.1485407000000001</v>
      </c>
      <c r="I8" s="1">
        <v>0</v>
      </c>
      <c r="J8" s="1">
        <v>0.88341780000000003</v>
      </c>
      <c r="K8" s="1">
        <v>0.91374489999999997</v>
      </c>
      <c r="L8" s="1">
        <v>0.93413089999999999</v>
      </c>
      <c r="M8" s="1">
        <v>0.8840327</v>
      </c>
      <c r="N8" s="1">
        <v>0.88114190000000003</v>
      </c>
      <c r="O8" s="1">
        <v>1.0096474</v>
      </c>
      <c r="P8" s="1">
        <v>8.2164299999999996E-2</v>
      </c>
      <c r="Q8" s="1">
        <v>0.87950019999999995</v>
      </c>
      <c r="R8" s="1">
        <v>0.94595289999999999</v>
      </c>
      <c r="S8" s="1">
        <v>0.88293359999999999</v>
      </c>
      <c r="T8" s="1">
        <v>0.88364319999999996</v>
      </c>
      <c r="U8" s="1">
        <v>0.88372729999999999</v>
      </c>
      <c r="V8" s="1">
        <v>0.88622469999999998</v>
      </c>
      <c r="W8" s="1">
        <v>7.8680799999999995E-2</v>
      </c>
      <c r="X8" s="1">
        <v>0.87952209999999997</v>
      </c>
      <c r="Y8" s="1">
        <v>0.96072150000000001</v>
      </c>
      <c r="Z8" s="1">
        <v>0.89438819999999997</v>
      </c>
    </row>
    <row r="9" spans="2:28" x14ac:dyDescent="0.25">
      <c r="B9" s="2" t="s">
        <v>86</v>
      </c>
      <c r="C9" s="1">
        <v>1.8143699999999999E-2</v>
      </c>
      <c r="D9" s="1">
        <v>0.98080230000000002</v>
      </c>
      <c r="E9" s="1">
        <v>0.90211750000000002</v>
      </c>
      <c r="F9" s="1">
        <v>0.88103989999999999</v>
      </c>
      <c r="G9" s="1">
        <v>0.87968749999999996</v>
      </c>
      <c r="H9" s="1">
        <v>1.0745859</v>
      </c>
      <c r="I9" s="1">
        <v>0.8751776</v>
      </c>
      <c r="J9" s="1">
        <v>0</v>
      </c>
      <c r="K9" s="1">
        <v>0.97168869999999996</v>
      </c>
      <c r="L9" s="1">
        <v>0.96636270000000002</v>
      </c>
      <c r="M9" s="1">
        <v>0.88107489999999999</v>
      </c>
      <c r="N9" s="1">
        <v>0.88266210000000001</v>
      </c>
      <c r="O9" s="1">
        <v>1.0214015999999999</v>
      </c>
      <c r="P9" s="1">
        <v>1.0117719000000001</v>
      </c>
      <c r="Q9" s="1">
        <v>1.9290700000000001E-2</v>
      </c>
      <c r="R9" s="1">
        <v>0.99939299999999998</v>
      </c>
      <c r="S9" s="1">
        <v>0.91227440000000004</v>
      </c>
      <c r="T9" s="1">
        <v>0.88265229999999995</v>
      </c>
      <c r="U9" s="1">
        <v>0.88227319999999998</v>
      </c>
      <c r="V9" s="1">
        <v>0.87667680000000003</v>
      </c>
      <c r="W9" s="1">
        <v>0.99997590000000003</v>
      </c>
      <c r="X9" s="1">
        <v>1.9627100000000001E-2</v>
      </c>
      <c r="Y9" s="1">
        <v>0.90100999999999998</v>
      </c>
      <c r="Z9" s="1">
        <v>0.90178610000000003</v>
      </c>
    </row>
    <row r="10" spans="2:28" x14ac:dyDescent="0.25">
      <c r="B10" s="2" t="s">
        <v>87</v>
      </c>
      <c r="C10" s="1">
        <v>0.87909360000000003</v>
      </c>
      <c r="D10" s="1">
        <v>3.71487E-2</v>
      </c>
      <c r="E10" s="1">
        <v>0.95415190000000005</v>
      </c>
      <c r="F10" s="1">
        <v>0.88176540000000003</v>
      </c>
      <c r="G10" s="1">
        <v>0.88181880000000001</v>
      </c>
      <c r="H10" s="1">
        <v>0.99285959999999995</v>
      </c>
      <c r="I10" s="1">
        <v>0.88220739999999997</v>
      </c>
      <c r="J10" s="1">
        <v>0.8783166</v>
      </c>
      <c r="K10" s="1">
        <v>0</v>
      </c>
      <c r="L10" s="1">
        <v>0.90941669999999997</v>
      </c>
      <c r="M10" s="1">
        <v>0.8790462</v>
      </c>
      <c r="N10" s="1">
        <v>0.88094899999999998</v>
      </c>
      <c r="O10" s="1">
        <v>1.0155559000000001</v>
      </c>
      <c r="P10" s="1">
        <v>1.0082221</v>
      </c>
      <c r="Q10" s="1">
        <v>0.87692170000000003</v>
      </c>
      <c r="R10" s="1">
        <v>3.7955000000000003E-2</v>
      </c>
      <c r="S10" s="1">
        <v>0.90044089999999999</v>
      </c>
      <c r="T10" s="1">
        <v>0.91057589999999999</v>
      </c>
      <c r="U10" s="1">
        <v>0.89664480000000002</v>
      </c>
      <c r="V10" s="1">
        <v>0.88932630000000001</v>
      </c>
      <c r="W10" s="1">
        <v>1.0003108999999999</v>
      </c>
      <c r="X10" s="1">
        <v>0.89644170000000001</v>
      </c>
      <c r="Y10" s="1">
        <v>2.8752099999999999E-2</v>
      </c>
      <c r="Z10" s="1">
        <v>0.88364620000000005</v>
      </c>
    </row>
    <row r="11" spans="2:28" x14ac:dyDescent="0.25">
      <c r="B11" s="2" t="s">
        <v>88</v>
      </c>
      <c r="C11" s="1">
        <v>0.87853930000000002</v>
      </c>
      <c r="D11" s="1">
        <v>0.94576530000000003</v>
      </c>
      <c r="E11" s="1">
        <v>1.8460500000000001E-2</v>
      </c>
      <c r="F11" s="1">
        <v>0.879494</v>
      </c>
      <c r="G11" s="1">
        <v>0.88279410000000003</v>
      </c>
      <c r="H11" s="1">
        <v>1.0610275</v>
      </c>
      <c r="I11" s="1">
        <v>0.88012120000000005</v>
      </c>
      <c r="J11" s="1">
        <v>0.87472819999999996</v>
      </c>
      <c r="K11" s="1">
        <v>0.88441179999999997</v>
      </c>
      <c r="L11" s="1">
        <v>0</v>
      </c>
      <c r="M11" s="1">
        <v>0.8815634</v>
      </c>
      <c r="N11" s="1">
        <v>0.89139820000000003</v>
      </c>
      <c r="O11" s="1">
        <v>1.0647123000000001</v>
      </c>
      <c r="P11" s="1">
        <v>1.0076988</v>
      </c>
      <c r="Q11" s="1">
        <v>0.88199159999999999</v>
      </c>
      <c r="R11" s="1">
        <v>0.97188759999999996</v>
      </c>
      <c r="S11" s="1">
        <v>2.82128E-2</v>
      </c>
      <c r="T11" s="1">
        <v>0.88186880000000001</v>
      </c>
      <c r="U11" s="1">
        <v>0.88927560000000005</v>
      </c>
      <c r="V11" s="1">
        <v>0.88876080000000002</v>
      </c>
      <c r="W11" s="1">
        <v>1.081234</v>
      </c>
      <c r="X11" s="1">
        <v>0.88202360000000002</v>
      </c>
      <c r="Y11" s="1">
        <v>0.88294530000000004</v>
      </c>
      <c r="Z11" s="1">
        <v>1.8967399999999999E-2</v>
      </c>
    </row>
    <row r="12" spans="2:28" x14ac:dyDescent="0.25">
      <c r="B12" s="2" t="s">
        <v>89</v>
      </c>
      <c r="C12" s="1">
        <v>0.87506629999999996</v>
      </c>
      <c r="D12" s="1">
        <v>0.94832709999999998</v>
      </c>
      <c r="E12" s="1">
        <v>0.88881330000000003</v>
      </c>
      <c r="F12" s="1">
        <v>1.8112199999999998E-2</v>
      </c>
      <c r="G12" s="1">
        <v>0.88154440000000001</v>
      </c>
      <c r="H12" s="1">
        <v>0.99198249999999999</v>
      </c>
      <c r="I12" s="1">
        <v>0.87547209999999998</v>
      </c>
      <c r="J12" s="1">
        <v>0.87523530000000005</v>
      </c>
      <c r="K12" s="1">
        <v>0.90037509999999998</v>
      </c>
      <c r="L12" s="1">
        <v>0.87723850000000003</v>
      </c>
      <c r="M12" s="1">
        <v>0</v>
      </c>
      <c r="N12" s="1">
        <v>0.88489720000000005</v>
      </c>
      <c r="O12" s="1">
        <v>1.0255623</v>
      </c>
      <c r="P12" s="1">
        <v>1.0217445000000001</v>
      </c>
      <c r="Q12" s="1">
        <v>0.8772354</v>
      </c>
      <c r="R12" s="1">
        <v>0.9071939</v>
      </c>
      <c r="S12" s="1">
        <v>0.95565820000000001</v>
      </c>
      <c r="T12" s="1">
        <v>1.9054399999999999E-2</v>
      </c>
      <c r="U12" s="1">
        <v>0.88309499999999996</v>
      </c>
      <c r="V12" s="1">
        <v>0.87697860000000005</v>
      </c>
      <c r="W12" s="1">
        <v>1.1391273</v>
      </c>
      <c r="X12" s="1">
        <v>0.87698339999999997</v>
      </c>
      <c r="Y12" s="1">
        <v>0.89935560000000003</v>
      </c>
      <c r="Z12" s="1">
        <v>0.94248339999999997</v>
      </c>
    </row>
    <row r="13" spans="2:28" x14ac:dyDescent="0.25">
      <c r="B13" s="2" t="s">
        <v>90</v>
      </c>
      <c r="C13" s="1">
        <v>0.88070990000000005</v>
      </c>
      <c r="D13" s="1">
        <v>0.89951680000000001</v>
      </c>
      <c r="E13" s="1">
        <v>0.95058560000000003</v>
      </c>
      <c r="F13" s="1">
        <v>0.879915</v>
      </c>
      <c r="G13" s="1">
        <v>1.85051E-2</v>
      </c>
      <c r="H13" s="1">
        <v>1.1089405999999999</v>
      </c>
      <c r="I13" s="1">
        <v>0.87520620000000005</v>
      </c>
      <c r="J13" s="1">
        <v>0.87497380000000002</v>
      </c>
      <c r="K13" s="1">
        <v>0.88296940000000002</v>
      </c>
      <c r="L13" s="1">
        <v>0.92786409999999997</v>
      </c>
      <c r="M13" s="1">
        <v>0.8798165</v>
      </c>
      <c r="N13" s="1">
        <v>0</v>
      </c>
      <c r="O13" s="1">
        <v>1.0339062000000001</v>
      </c>
      <c r="P13" s="1">
        <v>1.0015566</v>
      </c>
      <c r="Q13" s="1">
        <v>0.87622860000000002</v>
      </c>
      <c r="R13" s="1">
        <v>0.88703799999999999</v>
      </c>
      <c r="S13" s="1">
        <v>0.94314189999999998</v>
      </c>
      <c r="T13" s="1">
        <v>0.88338779999999995</v>
      </c>
      <c r="U13" s="1">
        <v>1.9072100000000002E-2</v>
      </c>
      <c r="V13" s="1">
        <v>0.87733289999999997</v>
      </c>
      <c r="W13" s="1">
        <v>1.0776565</v>
      </c>
      <c r="X13" s="1">
        <v>0.876359</v>
      </c>
      <c r="Y13" s="1">
        <v>0.90231320000000004</v>
      </c>
      <c r="Z13" s="1">
        <v>0.9363515</v>
      </c>
    </row>
    <row r="14" spans="2:28" x14ac:dyDescent="0.25">
      <c r="B14" s="2" t="s">
        <v>91</v>
      </c>
      <c r="C14" s="1">
        <v>0.98586989999999997</v>
      </c>
      <c r="D14" s="1">
        <v>0.94581459999999995</v>
      </c>
      <c r="E14" s="1">
        <v>0.97135260000000001</v>
      </c>
      <c r="F14" s="1">
        <v>0.92585709999999999</v>
      </c>
      <c r="G14" s="1">
        <v>0.96130159999999998</v>
      </c>
      <c r="H14" s="1">
        <v>0.96065040000000002</v>
      </c>
      <c r="I14" s="1">
        <v>0.98568370000000005</v>
      </c>
      <c r="J14" s="1">
        <v>0.92136379999999996</v>
      </c>
      <c r="K14" s="1">
        <v>1.0304556</v>
      </c>
      <c r="L14" s="1">
        <v>0.96050049999999998</v>
      </c>
      <c r="M14" s="1">
        <v>0.99128680000000002</v>
      </c>
      <c r="N14" s="1">
        <v>1.0001955</v>
      </c>
      <c r="O14" s="1">
        <v>0</v>
      </c>
      <c r="P14" s="1">
        <v>1.0711531999999999</v>
      </c>
      <c r="Q14" s="1">
        <v>0.95049170000000005</v>
      </c>
      <c r="R14" s="1">
        <v>0.98605299999999996</v>
      </c>
      <c r="S14" s="1">
        <v>0.94838929999999999</v>
      </c>
      <c r="T14" s="1">
        <v>1.0201311</v>
      </c>
      <c r="U14" s="1">
        <v>1.01125</v>
      </c>
      <c r="V14" s="1">
        <v>8.0688999999999997E-2</v>
      </c>
      <c r="W14" s="1">
        <v>1.1848946</v>
      </c>
      <c r="X14" s="1">
        <v>0.9712305</v>
      </c>
      <c r="Y14" s="1">
        <v>1.0769656000000001</v>
      </c>
      <c r="Z14" s="1">
        <v>0.9504087</v>
      </c>
    </row>
    <row r="15" spans="2:28" x14ac:dyDescent="0.25">
      <c r="B15" s="2" t="s">
        <v>92</v>
      </c>
      <c r="C15" s="1">
        <v>0.92648819999999998</v>
      </c>
      <c r="D15" s="1">
        <v>1.0744178</v>
      </c>
      <c r="E15" s="1">
        <v>0.94284679999999998</v>
      </c>
      <c r="F15" s="1">
        <v>0.93072339999999998</v>
      </c>
      <c r="G15" s="1">
        <v>0.94114399999999998</v>
      </c>
      <c r="H15" s="1">
        <v>1.2002170000000001</v>
      </c>
      <c r="I15" s="1">
        <v>6.83975E-2</v>
      </c>
      <c r="J15" s="1">
        <v>0.93633650000000002</v>
      </c>
      <c r="K15" s="1">
        <v>1.0861890000000001</v>
      </c>
      <c r="L15" s="1">
        <v>0.94886060000000005</v>
      </c>
      <c r="M15" s="1">
        <v>0.93542530000000002</v>
      </c>
      <c r="N15" s="1">
        <v>0.9306664</v>
      </c>
      <c r="O15" s="1">
        <v>1.2003126</v>
      </c>
      <c r="P15" s="1">
        <v>0</v>
      </c>
      <c r="Q15" s="1">
        <v>0.96149560000000001</v>
      </c>
      <c r="R15" s="1">
        <v>1.0407208999999999</v>
      </c>
      <c r="S15" s="1">
        <v>0.93629379999999995</v>
      </c>
      <c r="T15" s="1">
        <v>0.94336489999999995</v>
      </c>
      <c r="U15" s="1">
        <v>0.95120499999999997</v>
      </c>
      <c r="V15" s="1">
        <v>0.94074630000000004</v>
      </c>
      <c r="W15" s="1">
        <v>0.8206582</v>
      </c>
      <c r="X15" s="1">
        <v>0.97028490000000001</v>
      </c>
      <c r="Y15" s="1">
        <v>1.0701432</v>
      </c>
      <c r="Z15" s="1">
        <v>0.93618040000000002</v>
      </c>
    </row>
    <row r="16" spans="2:28" x14ac:dyDescent="0.25">
      <c r="B16" s="2" t="s">
        <v>93</v>
      </c>
      <c r="C16" s="1">
        <v>1.7941200000000001E-2</v>
      </c>
      <c r="D16" s="1">
        <v>0.88281540000000003</v>
      </c>
      <c r="E16" s="1">
        <v>0.87810639999999995</v>
      </c>
      <c r="F16" s="1">
        <v>0.88042659999999995</v>
      </c>
      <c r="G16" s="1">
        <v>0.88090970000000002</v>
      </c>
      <c r="H16" s="1">
        <v>1.0434256</v>
      </c>
      <c r="I16" s="1">
        <v>0.87503839999999999</v>
      </c>
      <c r="J16" s="1">
        <v>1.86605E-2</v>
      </c>
      <c r="K16" s="1">
        <v>0.92715190000000003</v>
      </c>
      <c r="L16" s="1">
        <v>0.89779279999999995</v>
      </c>
      <c r="M16" s="1">
        <v>0.88163809999999998</v>
      </c>
      <c r="N16" s="1">
        <v>0.87664390000000003</v>
      </c>
      <c r="O16" s="1">
        <v>1.0218822999999999</v>
      </c>
      <c r="P16" s="1">
        <v>1.0268828999999999</v>
      </c>
      <c r="Q16" s="1">
        <v>0</v>
      </c>
      <c r="R16" s="1">
        <v>0.93575909999999995</v>
      </c>
      <c r="S16" s="1">
        <v>0.96114160000000004</v>
      </c>
      <c r="T16" s="1">
        <v>0.88265629999999995</v>
      </c>
      <c r="U16" s="1">
        <v>0.88215710000000003</v>
      </c>
      <c r="V16" s="1">
        <v>0.87633609999999995</v>
      </c>
      <c r="W16" s="1">
        <v>1.0138613999999999</v>
      </c>
      <c r="X16" s="1">
        <v>1.9505999999999999E-2</v>
      </c>
      <c r="Y16" s="1">
        <v>0.89299919999999999</v>
      </c>
      <c r="Z16" s="1">
        <v>0.9154468</v>
      </c>
    </row>
    <row r="17" spans="2:26" x14ac:dyDescent="0.25">
      <c r="B17" s="2" t="s">
        <v>94</v>
      </c>
      <c r="C17" s="1">
        <v>0.8781331</v>
      </c>
      <c r="D17" s="1">
        <v>1.7650800000000001E-2</v>
      </c>
      <c r="E17" s="1">
        <v>0.92245049999999995</v>
      </c>
      <c r="F17" s="1">
        <v>0.88036110000000001</v>
      </c>
      <c r="G17" s="1">
        <v>0.87972119999999998</v>
      </c>
      <c r="H17" s="1">
        <v>1.0927625000000001</v>
      </c>
      <c r="I17" s="1">
        <v>0.89331320000000003</v>
      </c>
      <c r="J17" s="1">
        <v>0.88018079999999999</v>
      </c>
      <c r="K17" s="1">
        <v>0.38806649999999998</v>
      </c>
      <c r="L17" s="1">
        <v>0.89881630000000001</v>
      </c>
      <c r="M17" s="1">
        <v>0.88184499999999999</v>
      </c>
      <c r="N17" s="1">
        <v>0.88180760000000002</v>
      </c>
      <c r="O17" s="1">
        <v>1.0992782000000001</v>
      </c>
      <c r="P17" s="1">
        <v>1.0114219</v>
      </c>
      <c r="Q17" s="1">
        <v>0.87509610000000004</v>
      </c>
      <c r="R17" s="1">
        <v>0</v>
      </c>
      <c r="S17" s="1">
        <v>0.91164800000000001</v>
      </c>
      <c r="T17" s="1">
        <v>0.89052010000000004</v>
      </c>
      <c r="U17" s="1">
        <v>0.88168930000000001</v>
      </c>
      <c r="V17" s="1">
        <v>0.87700959999999994</v>
      </c>
      <c r="W17" s="1">
        <v>1.0066577999999999</v>
      </c>
      <c r="X17" s="1">
        <v>0.876606</v>
      </c>
      <c r="Y17" s="1">
        <v>2.0553600000000002E-2</v>
      </c>
      <c r="Z17" s="1">
        <v>0.96477009999999996</v>
      </c>
    </row>
    <row r="18" spans="2:26" x14ac:dyDescent="0.25">
      <c r="B18" s="2" t="s">
        <v>95</v>
      </c>
      <c r="C18" s="1">
        <v>0.87964529999999996</v>
      </c>
      <c r="D18" s="1">
        <v>0.93096109999999999</v>
      </c>
      <c r="E18" s="1">
        <v>2.7952000000000001E-2</v>
      </c>
      <c r="F18" s="1">
        <v>0.91007760000000004</v>
      </c>
      <c r="G18" s="1">
        <v>0.8803105</v>
      </c>
      <c r="H18" s="1">
        <v>0.99672150000000004</v>
      </c>
      <c r="I18" s="1">
        <v>0.88462229999999997</v>
      </c>
      <c r="J18" s="1">
        <v>0.90022489999999999</v>
      </c>
      <c r="K18" s="1">
        <v>1.0709038</v>
      </c>
      <c r="L18" s="1">
        <v>2.7630600000000002E-2</v>
      </c>
      <c r="M18" s="1">
        <v>0.87879989999999997</v>
      </c>
      <c r="N18" s="1">
        <v>0.88294720000000004</v>
      </c>
      <c r="O18" s="1">
        <v>0.99563670000000004</v>
      </c>
      <c r="P18" s="1">
        <v>1.0070291</v>
      </c>
      <c r="Q18" s="1">
        <v>0.88210509999999998</v>
      </c>
      <c r="R18" s="1">
        <v>0.88788180000000005</v>
      </c>
      <c r="S18" s="1">
        <v>0</v>
      </c>
      <c r="T18" s="1">
        <v>0.88355470000000003</v>
      </c>
      <c r="U18" s="1">
        <v>0.88352889999999995</v>
      </c>
      <c r="V18" s="1">
        <v>0.88563080000000005</v>
      </c>
      <c r="W18" s="1">
        <v>1.0149059</v>
      </c>
      <c r="X18" s="1">
        <v>0.88991640000000005</v>
      </c>
      <c r="Y18" s="1">
        <v>0.95138449999999997</v>
      </c>
      <c r="Z18" s="1">
        <v>3.29669E-2</v>
      </c>
    </row>
    <row r="19" spans="2:26" x14ac:dyDescent="0.25">
      <c r="B19" s="2" t="s">
        <v>96</v>
      </c>
      <c r="C19" s="1">
        <v>0.87558630000000004</v>
      </c>
      <c r="D19" s="1">
        <v>0.93292050000000004</v>
      </c>
      <c r="E19" s="1">
        <v>0.88154980000000005</v>
      </c>
      <c r="F19" s="1">
        <v>1.77555E-2</v>
      </c>
      <c r="G19" s="1">
        <v>0.880301</v>
      </c>
      <c r="H19" s="1">
        <v>1.0451379000000001</v>
      </c>
      <c r="I19" s="1">
        <v>0.87560510000000003</v>
      </c>
      <c r="J19" s="1">
        <v>0.87609959999999998</v>
      </c>
      <c r="K19" s="1">
        <v>0.88108830000000005</v>
      </c>
      <c r="L19" s="1">
        <v>0.95734050000000004</v>
      </c>
      <c r="M19" s="1">
        <v>1.8077599999999999E-2</v>
      </c>
      <c r="N19" s="1">
        <v>0.88152960000000002</v>
      </c>
      <c r="O19" s="1">
        <v>1.0761228</v>
      </c>
      <c r="P19" s="1">
        <v>1.0566641999999999</v>
      </c>
      <c r="Q19" s="1">
        <v>0.87597539999999996</v>
      </c>
      <c r="R19" s="1">
        <v>0.87966509999999998</v>
      </c>
      <c r="S19" s="1">
        <v>0.92442080000000004</v>
      </c>
      <c r="T19" s="1">
        <v>0</v>
      </c>
      <c r="U19" s="1">
        <v>0.88369200000000003</v>
      </c>
      <c r="V19" s="1">
        <v>0.88348749999999998</v>
      </c>
      <c r="W19" s="1">
        <v>1.0763666999999999</v>
      </c>
      <c r="X19" s="1">
        <v>0.87797570000000003</v>
      </c>
      <c r="Y19" s="1">
        <v>0.91149449999999999</v>
      </c>
      <c r="Z19" s="1">
        <v>0.93232970000000004</v>
      </c>
    </row>
    <row r="20" spans="2:26" x14ac:dyDescent="0.25">
      <c r="B20" s="2" t="s">
        <v>97</v>
      </c>
      <c r="C20" s="1">
        <v>0.87535909999999995</v>
      </c>
      <c r="D20" s="1">
        <v>0.88170099999999996</v>
      </c>
      <c r="E20" s="1">
        <v>0.89179160000000002</v>
      </c>
      <c r="F20" s="1">
        <v>0.8816948</v>
      </c>
      <c r="G20" s="1">
        <v>1.8879900000000002E-2</v>
      </c>
      <c r="H20" s="1">
        <v>1.0019891000000001</v>
      </c>
      <c r="I20" s="1">
        <v>0.87537620000000005</v>
      </c>
      <c r="J20" s="1">
        <v>0.87611059999999996</v>
      </c>
      <c r="K20" s="1">
        <v>0.90603160000000005</v>
      </c>
      <c r="L20" s="1">
        <v>0.92237829999999998</v>
      </c>
      <c r="M20" s="1">
        <v>0.88164569999999998</v>
      </c>
      <c r="N20" s="1">
        <v>1.7950500000000001E-2</v>
      </c>
      <c r="O20" s="1">
        <v>0.98691649999999997</v>
      </c>
      <c r="P20" s="1">
        <v>1.0838447</v>
      </c>
      <c r="Q20" s="1">
        <v>0.87697769999999997</v>
      </c>
      <c r="R20" s="1">
        <v>0.95589179999999996</v>
      </c>
      <c r="S20" s="1">
        <v>0.95428420000000003</v>
      </c>
      <c r="T20" s="1">
        <v>0.88174770000000002</v>
      </c>
      <c r="U20" s="1">
        <v>0</v>
      </c>
      <c r="V20" s="1">
        <v>0.87699150000000003</v>
      </c>
      <c r="W20" s="1">
        <v>1.0887775</v>
      </c>
      <c r="X20" s="1">
        <v>0.87711190000000006</v>
      </c>
      <c r="Y20" s="1">
        <v>0.8926444</v>
      </c>
      <c r="Z20" s="1">
        <v>0.91293000000000002</v>
      </c>
    </row>
    <row r="21" spans="2:26" x14ac:dyDescent="0.25">
      <c r="B21" s="2" t="s">
        <v>98</v>
      </c>
      <c r="C21" s="1">
        <v>0.87837120000000002</v>
      </c>
      <c r="D21" s="1">
        <v>0.89747520000000003</v>
      </c>
      <c r="E21" s="1">
        <v>0.90751479999999995</v>
      </c>
      <c r="F21" s="1">
        <v>0.88101770000000001</v>
      </c>
      <c r="G21" s="1">
        <v>0.88242200000000004</v>
      </c>
      <c r="H21" s="1">
        <v>6.4982399999999996E-2</v>
      </c>
      <c r="I21" s="1">
        <v>0.87833240000000001</v>
      </c>
      <c r="J21" s="1">
        <v>0.87852169999999996</v>
      </c>
      <c r="K21" s="1">
        <v>0.88271049999999995</v>
      </c>
      <c r="L21" s="1">
        <v>0.88238220000000001</v>
      </c>
      <c r="M21" s="1">
        <v>0.88273380000000001</v>
      </c>
      <c r="N21" s="1">
        <v>0.88242889999999996</v>
      </c>
      <c r="O21" s="1">
        <v>8.4070400000000003E-2</v>
      </c>
      <c r="P21" s="1">
        <v>0.98562170000000004</v>
      </c>
      <c r="Q21" s="1">
        <v>0.87923430000000002</v>
      </c>
      <c r="R21" s="1">
        <v>0.90207510000000002</v>
      </c>
      <c r="S21" s="1">
        <v>0.88240909999999995</v>
      </c>
      <c r="T21" s="1">
        <v>0.88226990000000005</v>
      </c>
      <c r="U21" s="1">
        <v>0.88246230000000003</v>
      </c>
      <c r="V21" s="1">
        <v>0</v>
      </c>
      <c r="W21" s="1">
        <v>0.98052790000000001</v>
      </c>
      <c r="X21" s="1">
        <v>0.88319899999999996</v>
      </c>
      <c r="Y21" s="1">
        <v>0.94780450000000005</v>
      </c>
      <c r="Z21" s="1">
        <v>0.95364519999999997</v>
      </c>
    </row>
    <row r="22" spans="2:26" x14ac:dyDescent="0.25">
      <c r="B22" s="2" t="s">
        <v>99</v>
      </c>
      <c r="C22" s="1">
        <v>0.93131520000000001</v>
      </c>
      <c r="D22" s="1">
        <v>1.0957918</v>
      </c>
      <c r="E22" s="1">
        <v>1.0288881999999999</v>
      </c>
      <c r="F22" s="1">
        <v>0.93512729999999999</v>
      </c>
      <c r="G22" s="1">
        <v>0.92856720000000004</v>
      </c>
      <c r="H22" s="1">
        <v>1.1140737999999999</v>
      </c>
      <c r="I22" s="1">
        <v>6.6666600000000006E-2</v>
      </c>
      <c r="J22" s="1">
        <v>0.93071870000000001</v>
      </c>
      <c r="K22" s="1">
        <v>0.94367769999999995</v>
      </c>
      <c r="L22" s="1">
        <v>1.0208980999999999</v>
      </c>
      <c r="M22" s="1">
        <v>0.93417600000000001</v>
      </c>
      <c r="N22" s="1">
        <v>0.93052199999999996</v>
      </c>
      <c r="O22" s="1">
        <v>1.0714712</v>
      </c>
      <c r="P22" s="1">
        <v>0.82065010000000005</v>
      </c>
      <c r="Q22" s="1">
        <v>0.94567540000000005</v>
      </c>
      <c r="R22" s="1">
        <v>0.97093560000000001</v>
      </c>
      <c r="S22" s="1">
        <v>0.94071249999999995</v>
      </c>
      <c r="T22" s="1">
        <v>0.92379069999999996</v>
      </c>
      <c r="U22" s="1">
        <v>0.94123199999999996</v>
      </c>
      <c r="V22" s="1">
        <v>0.93555710000000003</v>
      </c>
      <c r="W22" s="1">
        <v>0</v>
      </c>
      <c r="X22" s="1">
        <v>0.93559650000000005</v>
      </c>
      <c r="Y22" s="1">
        <v>1.0111650999999999</v>
      </c>
      <c r="Z22" s="1">
        <v>1.0152213999999999</v>
      </c>
    </row>
    <row r="23" spans="2:26" x14ac:dyDescent="0.25">
      <c r="B23" s="2" t="s">
        <v>100</v>
      </c>
      <c r="C23" s="1">
        <v>1.7693299999999999E-2</v>
      </c>
      <c r="D23" s="1">
        <v>0.8899994</v>
      </c>
      <c r="E23" s="1">
        <v>0.88915040000000001</v>
      </c>
      <c r="F23" s="1">
        <v>0.87811570000000005</v>
      </c>
      <c r="G23" s="1">
        <v>0.87819000000000003</v>
      </c>
      <c r="H23" s="1">
        <v>1.0115198999999999</v>
      </c>
      <c r="I23" s="1">
        <v>0.87500409999999995</v>
      </c>
      <c r="J23" s="1">
        <v>1.8030899999999999E-2</v>
      </c>
      <c r="K23" s="1">
        <v>0.90834329999999996</v>
      </c>
      <c r="L23" s="1">
        <v>0.96870639999999997</v>
      </c>
      <c r="M23" s="1">
        <v>0.88236590000000004</v>
      </c>
      <c r="N23" s="1">
        <v>0.87955070000000002</v>
      </c>
      <c r="O23" s="1">
        <v>1.0510124999999999</v>
      </c>
      <c r="P23" s="1">
        <v>1.0163369</v>
      </c>
      <c r="Q23" s="1">
        <v>1.7815600000000001E-2</v>
      </c>
      <c r="R23" s="1">
        <v>0.93461490000000003</v>
      </c>
      <c r="S23" s="1">
        <v>0.95905759999999995</v>
      </c>
      <c r="T23" s="1">
        <v>0.88125819999999999</v>
      </c>
      <c r="U23" s="1">
        <v>0.88036970000000003</v>
      </c>
      <c r="V23" s="1">
        <v>0.87630819999999998</v>
      </c>
      <c r="W23" s="1">
        <v>1.0111325</v>
      </c>
      <c r="X23" s="1">
        <v>0</v>
      </c>
      <c r="Y23" s="1">
        <v>0.89158059999999995</v>
      </c>
      <c r="Z23" s="1">
        <v>0.96787710000000005</v>
      </c>
    </row>
    <row r="24" spans="2:26" x14ac:dyDescent="0.25">
      <c r="B24" s="2" t="s">
        <v>101</v>
      </c>
      <c r="C24" s="1">
        <v>0.88560839999999996</v>
      </c>
      <c r="D24" s="1">
        <v>1.84741E-2</v>
      </c>
      <c r="E24" s="1">
        <v>0.90881990000000001</v>
      </c>
      <c r="F24" s="1">
        <v>0.88075780000000004</v>
      </c>
      <c r="G24" s="1">
        <v>0.88000750000000005</v>
      </c>
      <c r="H24" s="1">
        <v>1.1304278000000001</v>
      </c>
      <c r="I24" s="1">
        <v>0.87929179999999996</v>
      </c>
      <c r="J24" s="1">
        <v>0.87530260000000004</v>
      </c>
      <c r="K24" s="1">
        <v>3.6361900000000003E-2</v>
      </c>
      <c r="L24" s="1">
        <v>0.97142930000000005</v>
      </c>
      <c r="M24" s="1">
        <v>0.88303350000000003</v>
      </c>
      <c r="N24" s="1">
        <v>0.88246919999999995</v>
      </c>
      <c r="O24" s="1">
        <v>1.1132500000000001</v>
      </c>
      <c r="P24" s="1">
        <v>1.0037901</v>
      </c>
      <c r="Q24" s="1">
        <v>0.87583900000000003</v>
      </c>
      <c r="R24" s="1">
        <v>2.72009E-2</v>
      </c>
      <c r="S24" s="1">
        <v>0.96102810000000005</v>
      </c>
      <c r="T24" s="1">
        <v>0.88297840000000005</v>
      </c>
      <c r="U24" s="1">
        <v>0.88915060000000001</v>
      </c>
      <c r="V24" s="1">
        <v>0.88764259999999995</v>
      </c>
      <c r="W24" s="1">
        <v>1.1077504</v>
      </c>
      <c r="X24" s="1">
        <v>0.88108249999999999</v>
      </c>
      <c r="Y24" s="1">
        <v>0</v>
      </c>
      <c r="Z24" s="1">
        <v>0.99053720000000001</v>
      </c>
    </row>
    <row r="25" spans="2:26" x14ac:dyDescent="0.25">
      <c r="B25" s="2" t="s">
        <v>102</v>
      </c>
      <c r="C25" s="1">
        <v>0.88404459999999996</v>
      </c>
      <c r="D25" s="1">
        <v>0.96117929999999996</v>
      </c>
      <c r="E25" s="1">
        <v>5.7443399999999999E-2</v>
      </c>
      <c r="F25" s="1">
        <v>0.87873049999999997</v>
      </c>
      <c r="G25" s="1">
        <v>0.8821485</v>
      </c>
      <c r="H25" s="1">
        <v>1.0214481</v>
      </c>
      <c r="I25" s="1">
        <v>0.87844250000000001</v>
      </c>
      <c r="J25" s="1">
        <v>0.88221910000000003</v>
      </c>
      <c r="K25" s="1">
        <v>0.98623300000000003</v>
      </c>
      <c r="L25" s="1">
        <v>1.93744E-2</v>
      </c>
      <c r="M25" s="1">
        <v>0.88351869999999999</v>
      </c>
      <c r="N25" s="1">
        <v>0.8905246</v>
      </c>
      <c r="O25" s="1">
        <v>1.0422308</v>
      </c>
      <c r="P25" s="1">
        <v>1.0055604</v>
      </c>
      <c r="Q25" s="1">
        <v>0.88151760000000001</v>
      </c>
      <c r="R25" s="1">
        <v>0.90709110000000004</v>
      </c>
      <c r="S25" s="1">
        <v>1.9478800000000001E-2</v>
      </c>
      <c r="T25" s="1">
        <v>0.88679529999999995</v>
      </c>
      <c r="U25" s="1">
        <v>0.91024490000000002</v>
      </c>
      <c r="V25" s="1">
        <v>0.90920210000000001</v>
      </c>
      <c r="W25" s="1">
        <v>1.176652</v>
      </c>
      <c r="X25" s="1">
        <v>0.88148139999999997</v>
      </c>
      <c r="Y25" s="1">
        <v>0.96593899999999999</v>
      </c>
      <c r="Z25" s="1">
        <v>0</v>
      </c>
    </row>
    <row r="29" spans="2:26" x14ac:dyDescent="0.25">
      <c r="B29" s="6" t="s">
        <v>118</v>
      </c>
      <c r="C29" s="6"/>
    </row>
    <row r="30" spans="2:26" x14ac:dyDescent="0.25">
      <c r="B30" s="6"/>
      <c r="C30" s="6"/>
    </row>
    <row r="31" spans="2:26" x14ac:dyDescent="0.25">
      <c r="B31" s="2" t="s">
        <v>79</v>
      </c>
      <c r="C31" s="1">
        <v>0</v>
      </c>
      <c r="D31" s="1">
        <v>0.87803359999999997</v>
      </c>
      <c r="E31" s="1">
        <v>0.88037609999999999</v>
      </c>
      <c r="F31" s="1">
        <v>0.88151360000000001</v>
      </c>
      <c r="G31" s="1">
        <v>0.88155340000000004</v>
      </c>
      <c r="H31" s="1">
        <v>0.8893278</v>
      </c>
      <c r="I31" s="1">
        <v>0.8871367</v>
      </c>
    </row>
    <row r="32" spans="2:26" x14ac:dyDescent="0.25">
      <c r="B32" s="2" t="s">
        <v>80</v>
      </c>
      <c r="C32" s="1">
        <v>0.87510900000000003</v>
      </c>
      <c r="D32" s="1">
        <v>0</v>
      </c>
      <c r="E32" s="1">
        <v>0.88206649999999998</v>
      </c>
      <c r="F32" s="1">
        <v>0.88181759999999998</v>
      </c>
      <c r="G32" s="1">
        <v>0.88256999999999997</v>
      </c>
      <c r="H32" s="1">
        <v>0.87793779999999999</v>
      </c>
      <c r="I32" s="1">
        <v>0.87781070000000005</v>
      </c>
    </row>
    <row r="33" spans="1:28" x14ac:dyDescent="0.25">
      <c r="B33" s="2" t="s">
        <v>81</v>
      </c>
      <c r="C33" s="1">
        <v>0.87796810000000003</v>
      </c>
      <c r="D33" s="1">
        <v>0.88228850000000003</v>
      </c>
      <c r="E33" s="1">
        <v>0</v>
      </c>
      <c r="F33" s="1">
        <v>0.88250609999999996</v>
      </c>
      <c r="G33" s="1">
        <v>0.88237120000000002</v>
      </c>
      <c r="H33" s="1">
        <v>0.88026740000000003</v>
      </c>
      <c r="I33" s="1">
        <v>0.87875840000000005</v>
      </c>
    </row>
    <row r="34" spans="1:28" x14ac:dyDescent="0.25">
      <c r="B34" s="2" t="s">
        <v>82</v>
      </c>
      <c r="C34" s="1">
        <v>0.87563420000000003</v>
      </c>
      <c r="D34" s="1">
        <v>0.88231539999999997</v>
      </c>
      <c r="E34" s="1">
        <v>0.88260749999999999</v>
      </c>
      <c r="F34" s="1">
        <v>0</v>
      </c>
      <c r="G34" s="1">
        <v>0.882185</v>
      </c>
      <c r="H34" s="1">
        <v>0.87664059999999999</v>
      </c>
      <c r="I34" s="1">
        <v>0.87511729999999999</v>
      </c>
    </row>
    <row r="35" spans="1:28" x14ac:dyDescent="0.25">
      <c r="B35" s="2" t="s">
        <v>83</v>
      </c>
      <c r="C35" s="1">
        <v>0.88053040000000005</v>
      </c>
      <c r="D35" s="1">
        <v>0.882355</v>
      </c>
      <c r="E35" s="1">
        <v>0.88268729999999995</v>
      </c>
      <c r="F35" s="1">
        <v>0.8825712</v>
      </c>
      <c r="G35" s="1">
        <v>0</v>
      </c>
      <c r="H35" s="1">
        <v>0.8760483</v>
      </c>
      <c r="I35" s="1">
        <v>0.88077090000000002</v>
      </c>
    </row>
    <row r="36" spans="1:28" x14ac:dyDescent="0.25">
      <c r="B36" s="2" t="s">
        <v>84</v>
      </c>
      <c r="C36" s="1">
        <v>0.87776569999999998</v>
      </c>
      <c r="D36" s="1">
        <v>0.88246970000000002</v>
      </c>
      <c r="E36" s="1">
        <v>0.88439230000000002</v>
      </c>
      <c r="F36" s="1">
        <v>0.87979719999999995</v>
      </c>
      <c r="G36" s="1">
        <v>0.88452169999999997</v>
      </c>
      <c r="H36" s="1">
        <v>0</v>
      </c>
      <c r="I36" s="1">
        <v>0.8847623</v>
      </c>
    </row>
    <row r="37" spans="1:28" x14ac:dyDescent="0.25">
      <c r="B37" s="2" t="s">
        <v>85</v>
      </c>
      <c r="C37" s="1">
        <v>0.88094709999999998</v>
      </c>
      <c r="D37" s="1">
        <v>0.88390139999999995</v>
      </c>
      <c r="E37" s="1">
        <v>0.88418719999999995</v>
      </c>
      <c r="F37" s="1">
        <v>0.88300630000000002</v>
      </c>
      <c r="G37" s="1">
        <v>0.88286160000000002</v>
      </c>
      <c r="H37" s="1">
        <v>0.88331599999999999</v>
      </c>
      <c r="I37" s="1">
        <v>0</v>
      </c>
    </row>
    <row r="40" spans="1:28" x14ac:dyDescent="0.25">
      <c r="C40" s="9" t="s">
        <v>103</v>
      </c>
      <c r="D40" s="9" t="s">
        <v>103</v>
      </c>
      <c r="E40" s="9" t="s">
        <v>103</v>
      </c>
      <c r="F40" s="9" t="s">
        <v>103</v>
      </c>
      <c r="G40" s="9" t="s">
        <v>104</v>
      </c>
      <c r="H40" s="9" t="s">
        <v>104</v>
      </c>
      <c r="I40" s="9" t="s">
        <v>104</v>
      </c>
      <c r="J40" s="9" t="s">
        <v>104</v>
      </c>
      <c r="K40" s="9" t="s">
        <v>105</v>
      </c>
      <c r="L40" s="9" t="s">
        <v>105</v>
      </c>
      <c r="M40" s="9" t="s">
        <v>105</v>
      </c>
      <c r="N40" s="9" t="s">
        <v>105</v>
      </c>
      <c r="O40" s="9" t="s">
        <v>106</v>
      </c>
      <c r="P40" s="9" t="s">
        <v>106</v>
      </c>
      <c r="Q40" s="9" t="s">
        <v>106</v>
      </c>
      <c r="R40" s="9" t="s">
        <v>106</v>
      </c>
      <c r="S40" s="9" t="s">
        <v>107</v>
      </c>
      <c r="T40" s="9" t="s">
        <v>107</v>
      </c>
      <c r="U40" s="9" t="s">
        <v>107</v>
      </c>
      <c r="V40" s="9" t="s">
        <v>107</v>
      </c>
      <c r="W40" s="9" t="s">
        <v>108</v>
      </c>
      <c r="X40" s="9" t="s">
        <v>108</v>
      </c>
      <c r="Y40" s="9" t="s">
        <v>109</v>
      </c>
      <c r="Z40" s="9" t="s">
        <v>109</v>
      </c>
      <c r="AA40" s="9" t="s">
        <v>122</v>
      </c>
      <c r="AB40" s="9" t="s">
        <v>123</v>
      </c>
    </row>
    <row r="41" spans="1:28" x14ac:dyDescent="0.25">
      <c r="C41" s="9" t="s">
        <v>120</v>
      </c>
      <c r="D41" s="3" t="s">
        <v>79</v>
      </c>
      <c r="E41" s="3" t="s">
        <v>80</v>
      </c>
      <c r="F41" s="3" t="s">
        <v>81</v>
      </c>
      <c r="G41" s="3" t="s">
        <v>82</v>
      </c>
      <c r="H41" s="3" t="s">
        <v>83</v>
      </c>
      <c r="I41" s="3" t="s">
        <v>84</v>
      </c>
      <c r="J41" s="3" t="s">
        <v>85</v>
      </c>
      <c r="K41" s="3" t="s">
        <v>86</v>
      </c>
      <c r="L41" s="3" t="s">
        <v>87</v>
      </c>
      <c r="M41" s="3" t="s">
        <v>88</v>
      </c>
      <c r="N41" s="3" t="s">
        <v>89</v>
      </c>
      <c r="O41" s="3" t="s">
        <v>90</v>
      </c>
      <c r="P41" s="3" t="s">
        <v>91</v>
      </c>
      <c r="Q41" s="3" t="s">
        <v>92</v>
      </c>
      <c r="R41" s="3" t="s">
        <v>93</v>
      </c>
      <c r="S41" s="3" t="s">
        <v>94</v>
      </c>
      <c r="T41" s="3" t="s">
        <v>95</v>
      </c>
      <c r="U41" s="3" t="s">
        <v>96</v>
      </c>
      <c r="V41" s="3" t="s">
        <v>97</v>
      </c>
      <c r="W41" s="3" t="s">
        <v>98</v>
      </c>
      <c r="X41" s="3" t="s">
        <v>99</v>
      </c>
      <c r="Y41" s="3" t="s">
        <v>100</v>
      </c>
      <c r="Z41" s="3" t="s">
        <v>101</v>
      </c>
      <c r="AA41" s="3" t="s">
        <v>102</v>
      </c>
      <c r="AB41" s="3" t="s">
        <v>121</v>
      </c>
    </row>
    <row r="42" spans="1:28" x14ac:dyDescent="0.25">
      <c r="A42" s="8" t="s">
        <v>103</v>
      </c>
      <c r="B42" s="8" t="s">
        <v>120</v>
      </c>
      <c r="C42" s="1">
        <v>0</v>
      </c>
      <c r="D42" s="1">
        <v>1.9254199999999999E-2</v>
      </c>
      <c r="E42" s="1">
        <v>1.86517E-2</v>
      </c>
      <c r="F42" s="1">
        <v>1.86751E-2</v>
      </c>
      <c r="G42" s="1">
        <v>0.89036800000000005</v>
      </c>
      <c r="H42" s="1">
        <v>0.89964650000000002</v>
      </c>
      <c r="I42" s="1">
        <v>0.95686749999999998</v>
      </c>
      <c r="J42" s="1">
        <v>0.88090659999999998</v>
      </c>
      <c r="K42" s="1">
        <v>0.9120047</v>
      </c>
      <c r="L42" s="1">
        <v>0.97031160000000005</v>
      </c>
      <c r="M42" s="1">
        <v>0.9049296</v>
      </c>
      <c r="N42" s="1">
        <v>0.88075230000000004</v>
      </c>
      <c r="O42" s="1">
        <v>0.97975540000000005</v>
      </c>
      <c r="P42" s="1">
        <v>0.89056400000000002</v>
      </c>
      <c r="Q42" s="1">
        <v>0.89755030000000002</v>
      </c>
      <c r="R42" s="1">
        <v>0.96984219999999999</v>
      </c>
      <c r="S42" s="1">
        <v>0.8862314</v>
      </c>
      <c r="T42" s="1">
        <v>0.90181230000000001</v>
      </c>
      <c r="U42" s="1">
        <v>0.88894439999999997</v>
      </c>
      <c r="V42" s="1">
        <v>0.93985200000000002</v>
      </c>
      <c r="W42" s="1">
        <v>0.87798259999999995</v>
      </c>
      <c r="X42" s="1">
        <v>1.0943558</v>
      </c>
      <c r="Y42" s="1">
        <v>0.94966079999999997</v>
      </c>
      <c r="Z42" s="1">
        <v>1.0473671</v>
      </c>
      <c r="AA42" s="1">
        <v>1.1923101</v>
      </c>
      <c r="AB42" s="1">
        <v>1.0853645999999999</v>
      </c>
    </row>
    <row r="43" spans="1:28" x14ac:dyDescent="0.25">
      <c r="A43" s="8" t="s">
        <v>103</v>
      </c>
      <c r="B43" s="8" t="s">
        <v>79</v>
      </c>
      <c r="C43" s="1">
        <v>2.3015500000000001E-2</v>
      </c>
      <c r="D43" s="1">
        <v>0</v>
      </c>
      <c r="E43" s="1">
        <v>1.8522299999999998E-2</v>
      </c>
      <c r="F43" s="1">
        <v>1.9770099999999999E-2</v>
      </c>
      <c r="G43" s="1">
        <v>0.96324869999999996</v>
      </c>
      <c r="H43" s="1">
        <v>0.90634919999999997</v>
      </c>
      <c r="I43" s="1">
        <v>0.89088460000000003</v>
      </c>
      <c r="J43" s="1">
        <v>0.91523909999999997</v>
      </c>
      <c r="K43" s="1">
        <v>0.92010809999999998</v>
      </c>
      <c r="L43" s="1">
        <v>0.89622590000000002</v>
      </c>
      <c r="M43" s="1">
        <v>0.91150379999999998</v>
      </c>
      <c r="N43" s="1">
        <v>0.89093659999999997</v>
      </c>
      <c r="O43" s="1">
        <v>0.90134380000000003</v>
      </c>
      <c r="P43" s="1">
        <v>0.98225189999999996</v>
      </c>
      <c r="Q43" s="1">
        <v>1.0058866</v>
      </c>
      <c r="R43" s="1">
        <v>0.90236850000000002</v>
      </c>
      <c r="S43" s="1">
        <v>0.95609089999999997</v>
      </c>
      <c r="T43" s="1">
        <v>0.90350750000000002</v>
      </c>
      <c r="U43" s="1">
        <v>0.91048980000000002</v>
      </c>
      <c r="V43" s="1">
        <v>0.87801910000000005</v>
      </c>
      <c r="W43" s="1">
        <v>0.87622829999999996</v>
      </c>
      <c r="X43" s="1">
        <v>1.0278236999999999</v>
      </c>
      <c r="Y43" s="1">
        <v>0.87587139999999997</v>
      </c>
      <c r="Z43" s="1">
        <v>1.0213287</v>
      </c>
      <c r="AA43" s="1">
        <v>1.1519672999999999</v>
      </c>
      <c r="AB43" s="1">
        <v>1.0463724000000001</v>
      </c>
    </row>
    <row r="44" spans="1:28" x14ac:dyDescent="0.25">
      <c r="A44" s="8" t="s">
        <v>103</v>
      </c>
      <c r="B44" s="8" t="s">
        <v>80</v>
      </c>
      <c r="C44" s="1">
        <v>1.7733800000000001E-2</v>
      </c>
      <c r="D44" s="1">
        <v>1.8990799999999999E-2</v>
      </c>
      <c r="E44" s="1">
        <v>0</v>
      </c>
      <c r="F44" s="1">
        <v>1.8684900000000001E-2</v>
      </c>
      <c r="G44" s="1">
        <v>0.96466989999999997</v>
      </c>
      <c r="H44" s="1">
        <v>0.96744609999999998</v>
      </c>
      <c r="I44" s="1">
        <v>0.89136029999999999</v>
      </c>
      <c r="J44" s="1">
        <v>0.92680720000000005</v>
      </c>
      <c r="K44" s="1">
        <v>0.88054060000000001</v>
      </c>
      <c r="L44" s="1">
        <v>0.91047909999999999</v>
      </c>
      <c r="M44" s="1">
        <v>0.89304070000000002</v>
      </c>
      <c r="N44" s="1">
        <v>0.8978469</v>
      </c>
      <c r="O44" s="1">
        <v>0.90785260000000001</v>
      </c>
      <c r="P44" s="1">
        <v>0.9198229</v>
      </c>
      <c r="Q44" s="1">
        <v>0.88702919999999996</v>
      </c>
      <c r="R44" s="1">
        <v>0.91574429999999996</v>
      </c>
      <c r="S44" s="1">
        <v>0.94963649999999999</v>
      </c>
      <c r="T44" s="1">
        <v>0.88082079999999996</v>
      </c>
      <c r="U44" s="1">
        <v>0.91815259999999999</v>
      </c>
      <c r="V44" s="1">
        <v>0.96590520000000002</v>
      </c>
      <c r="W44" s="1">
        <v>0.8758707</v>
      </c>
      <c r="X44" s="1">
        <v>1.0151861</v>
      </c>
      <c r="Y44" s="1">
        <v>0.87611989999999995</v>
      </c>
      <c r="Z44" s="1">
        <v>1.0154235</v>
      </c>
      <c r="AA44" s="1">
        <v>1.1412225</v>
      </c>
      <c r="AB44" s="1">
        <v>1.0485660999999999</v>
      </c>
    </row>
    <row r="45" spans="1:28" x14ac:dyDescent="0.25">
      <c r="A45" s="8" t="s">
        <v>103</v>
      </c>
      <c r="B45" s="8" t="s">
        <v>81</v>
      </c>
      <c r="C45" s="1">
        <v>1.82323E-2</v>
      </c>
      <c r="D45" s="1">
        <v>1.7967500000000001E-2</v>
      </c>
      <c r="E45" s="1">
        <v>1.8329100000000001E-2</v>
      </c>
      <c r="F45" s="1">
        <v>0</v>
      </c>
      <c r="G45" s="1">
        <v>0.90041590000000005</v>
      </c>
      <c r="H45" s="1">
        <v>0.9482315</v>
      </c>
      <c r="I45" s="1">
        <v>0.89747310000000002</v>
      </c>
      <c r="J45" s="1">
        <v>0.91954329999999995</v>
      </c>
      <c r="K45" s="1">
        <v>0.88351659999999999</v>
      </c>
      <c r="L45" s="1">
        <v>0.90879679999999996</v>
      </c>
      <c r="M45" s="1">
        <v>0.98273489999999997</v>
      </c>
      <c r="N45" s="1">
        <v>0.88752390000000003</v>
      </c>
      <c r="O45" s="1">
        <v>0.94309259999999995</v>
      </c>
      <c r="P45" s="1">
        <v>0.96818179999999998</v>
      </c>
      <c r="Q45" s="1">
        <v>0.90842080000000003</v>
      </c>
      <c r="R45" s="1">
        <v>0.94303610000000004</v>
      </c>
      <c r="S45" s="1">
        <v>0.87936539999999996</v>
      </c>
      <c r="T45" s="1">
        <v>0.95017309999999999</v>
      </c>
      <c r="U45" s="1">
        <v>0.90029340000000002</v>
      </c>
      <c r="V45" s="1">
        <v>0.90529389999999998</v>
      </c>
      <c r="W45" s="1">
        <v>0.87612820000000002</v>
      </c>
      <c r="X45" s="1">
        <v>1.0722453999999999</v>
      </c>
      <c r="Y45" s="1">
        <v>0.87599020000000005</v>
      </c>
      <c r="Z45" s="1">
        <v>1.0313779999999999</v>
      </c>
      <c r="AA45" s="1">
        <v>1.1457229</v>
      </c>
      <c r="AB45" s="1">
        <v>1.0400244999999999</v>
      </c>
    </row>
    <row r="46" spans="1:28" x14ac:dyDescent="0.25">
      <c r="A46" s="8" t="s">
        <v>104</v>
      </c>
      <c r="B46" s="8" t="s">
        <v>82</v>
      </c>
      <c r="C46" s="1">
        <v>0.87951230000000002</v>
      </c>
      <c r="D46" s="1">
        <v>0.88336610000000004</v>
      </c>
      <c r="E46" s="1">
        <v>0.87853619999999999</v>
      </c>
      <c r="F46" s="1">
        <v>0.886652</v>
      </c>
      <c r="G46" s="1">
        <v>0</v>
      </c>
      <c r="H46" s="1">
        <v>1.9021E-2</v>
      </c>
      <c r="I46" s="1">
        <v>3.9077000000000001E-2</v>
      </c>
      <c r="J46" s="1">
        <v>3.1363700000000001E-2</v>
      </c>
      <c r="K46" s="1">
        <v>0.98326559999999996</v>
      </c>
      <c r="L46" s="1">
        <v>0.93628929999999999</v>
      </c>
      <c r="M46" s="1">
        <v>0.97305039999999998</v>
      </c>
      <c r="N46" s="1">
        <v>0.92163130000000004</v>
      </c>
      <c r="O46" s="1">
        <v>0.89179940000000002</v>
      </c>
      <c r="P46" s="1">
        <v>0.89775709999999997</v>
      </c>
      <c r="Q46" s="1">
        <v>0.8799593</v>
      </c>
      <c r="R46" s="1">
        <v>0.8878992</v>
      </c>
      <c r="S46" s="1">
        <v>0.90049820000000003</v>
      </c>
      <c r="T46" s="1">
        <v>0.88186569999999997</v>
      </c>
      <c r="U46" s="1">
        <v>0.89409419999999995</v>
      </c>
      <c r="V46" s="1">
        <v>0.94614980000000004</v>
      </c>
      <c r="W46" s="1">
        <v>0.88889220000000002</v>
      </c>
      <c r="X46" s="1">
        <v>1.0768831000000001</v>
      </c>
      <c r="Y46" s="1">
        <v>0.87595270000000003</v>
      </c>
      <c r="Z46" s="1">
        <v>1.0204773</v>
      </c>
      <c r="AA46" s="1">
        <v>1.171216</v>
      </c>
      <c r="AB46" s="1">
        <v>1.0793060999999999</v>
      </c>
    </row>
    <row r="47" spans="1:28" x14ac:dyDescent="0.25">
      <c r="A47" s="8" t="s">
        <v>104</v>
      </c>
      <c r="B47" s="8" t="s">
        <v>83</v>
      </c>
      <c r="C47" s="1">
        <v>0.87835430000000003</v>
      </c>
      <c r="D47" s="1">
        <v>0.87572740000000004</v>
      </c>
      <c r="E47" s="1">
        <v>0.88187930000000003</v>
      </c>
      <c r="F47" s="1">
        <v>0.88037370000000004</v>
      </c>
      <c r="G47" s="1">
        <v>1.7975999999999999E-2</v>
      </c>
      <c r="H47" s="1">
        <v>0</v>
      </c>
      <c r="I47" s="1">
        <v>3.16455E-2</v>
      </c>
      <c r="J47" s="1">
        <v>1.8402600000000002E-2</v>
      </c>
      <c r="K47" s="1">
        <v>0.88952059999999999</v>
      </c>
      <c r="L47" s="1">
        <v>0.99594090000000002</v>
      </c>
      <c r="M47" s="1">
        <v>0.88339469999999998</v>
      </c>
      <c r="N47" s="1">
        <v>0.89536740000000004</v>
      </c>
      <c r="O47" s="1">
        <v>0.88543959999999999</v>
      </c>
      <c r="P47" s="1">
        <v>0.93726989999999999</v>
      </c>
      <c r="Q47" s="1">
        <v>0.91125920000000005</v>
      </c>
      <c r="R47" s="1">
        <v>0.94038460000000001</v>
      </c>
      <c r="S47" s="1">
        <v>0.88936349999999997</v>
      </c>
      <c r="T47" s="1">
        <v>0.91858790000000001</v>
      </c>
      <c r="U47" s="1">
        <v>0.88305310000000004</v>
      </c>
      <c r="V47" s="1">
        <v>0.93514900000000001</v>
      </c>
      <c r="W47" s="1">
        <v>0.87649299999999997</v>
      </c>
      <c r="X47" s="1">
        <v>1.0009806000000001</v>
      </c>
      <c r="Y47" s="1">
        <v>0.87818810000000003</v>
      </c>
      <c r="Z47" s="1">
        <v>1.0357673000000001</v>
      </c>
      <c r="AA47" s="1">
        <v>1.1904916999999999</v>
      </c>
      <c r="AB47" s="1">
        <v>1.0880268</v>
      </c>
    </row>
    <row r="48" spans="1:28" x14ac:dyDescent="0.25">
      <c r="A48" s="8" t="s">
        <v>104</v>
      </c>
      <c r="B48" s="8" t="s">
        <v>84</v>
      </c>
      <c r="C48" s="1">
        <v>0.87537600000000004</v>
      </c>
      <c r="D48" s="1">
        <v>0.87613890000000005</v>
      </c>
      <c r="E48" s="1">
        <v>0.87658910000000001</v>
      </c>
      <c r="F48" s="1">
        <v>0.88784739999999995</v>
      </c>
      <c r="G48" s="1">
        <v>3.7879000000000003E-2</v>
      </c>
      <c r="H48" s="1">
        <v>4.1710900000000002E-2</v>
      </c>
      <c r="I48" s="1">
        <v>0</v>
      </c>
      <c r="J48" s="1">
        <v>7.23052E-2</v>
      </c>
      <c r="K48" s="1">
        <v>0.90700199999999997</v>
      </c>
      <c r="L48" s="1">
        <v>0.88034219999999996</v>
      </c>
      <c r="M48" s="1">
        <v>1.0068859999999999</v>
      </c>
      <c r="N48" s="1">
        <v>0.88571929999999999</v>
      </c>
      <c r="O48" s="1">
        <v>0.94226310000000002</v>
      </c>
      <c r="P48" s="1">
        <v>1.000427</v>
      </c>
      <c r="Q48" s="1">
        <v>0.89890219999999998</v>
      </c>
      <c r="R48" s="1">
        <v>0.91216350000000002</v>
      </c>
      <c r="S48" s="1">
        <v>0.91145370000000003</v>
      </c>
      <c r="T48" s="1">
        <v>0.96408990000000006</v>
      </c>
      <c r="U48" s="1">
        <v>0.96984789999999998</v>
      </c>
      <c r="V48" s="1">
        <v>0.91195680000000001</v>
      </c>
      <c r="W48" s="1">
        <v>0.90739369999999997</v>
      </c>
      <c r="X48" s="1">
        <v>1.0603638</v>
      </c>
      <c r="Y48" s="1">
        <v>0.88551570000000002</v>
      </c>
      <c r="Z48" s="1">
        <v>1.0155206000000001</v>
      </c>
      <c r="AA48" s="1">
        <v>1.2064545</v>
      </c>
      <c r="AB48" s="1">
        <v>1.0737729</v>
      </c>
    </row>
    <row r="49" spans="1:28" x14ac:dyDescent="0.25">
      <c r="A49" s="8" t="s">
        <v>104</v>
      </c>
      <c r="B49" s="8" t="s">
        <v>85</v>
      </c>
      <c r="C49" s="1">
        <v>0.87591410000000003</v>
      </c>
      <c r="D49" s="1">
        <v>0.8756022</v>
      </c>
      <c r="E49" s="1">
        <v>0.87508799999999998</v>
      </c>
      <c r="F49" s="1">
        <v>0.88449949999999999</v>
      </c>
      <c r="G49" s="1">
        <v>2.9025100000000002E-2</v>
      </c>
      <c r="H49" s="1">
        <v>2.9188200000000001E-2</v>
      </c>
      <c r="I49" s="1">
        <v>3.7385000000000002E-2</v>
      </c>
      <c r="J49" s="1">
        <v>0</v>
      </c>
      <c r="K49" s="1">
        <v>0.95910220000000002</v>
      </c>
      <c r="L49" s="1">
        <v>0.93886420000000004</v>
      </c>
      <c r="M49" s="1">
        <v>1.0016086</v>
      </c>
      <c r="N49" s="1">
        <v>0.88288999999999995</v>
      </c>
      <c r="O49" s="1">
        <v>0.88158700000000001</v>
      </c>
      <c r="P49" s="1">
        <v>0.90581750000000005</v>
      </c>
      <c r="Q49" s="1">
        <v>0.98793169999999997</v>
      </c>
      <c r="R49" s="1">
        <v>0.94365049999999995</v>
      </c>
      <c r="S49" s="1">
        <v>0.95374610000000004</v>
      </c>
      <c r="T49" s="1">
        <v>0.97190449999999995</v>
      </c>
      <c r="U49" s="1">
        <v>0.96815870000000004</v>
      </c>
      <c r="V49" s="1">
        <v>0.88577600000000001</v>
      </c>
      <c r="W49" s="1">
        <v>0.88084079999999998</v>
      </c>
      <c r="X49" s="1">
        <v>1.0363922000000001</v>
      </c>
      <c r="Y49" s="1">
        <v>0.88398359999999998</v>
      </c>
      <c r="Z49" s="1">
        <v>1.0711101999999999</v>
      </c>
      <c r="AA49" s="1">
        <v>1.1753963999999999</v>
      </c>
      <c r="AB49" s="1">
        <v>1.0960953</v>
      </c>
    </row>
    <row r="50" spans="1:28" x14ac:dyDescent="0.25">
      <c r="A50" s="8" t="s">
        <v>105</v>
      </c>
      <c r="B50" s="8" t="s">
        <v>86</v>
      </c>
      <c r="C50" s="1">
        <v>0.88455079999999997</v>
      </c>
      <c r="D50" s="1">
        <v>0.88538530000000004</v>
      </c>
      <c r="E50" s="1">
        <v>0.87748999999999999</v>
      </c>
      <c r="F50" s="1">
        <v>0.87766270000000002</v>
      </c>
      <c r="G50" s="1">
        <v>0.8955765</v>
      </c>
      <c r="H50" s="1">
        <v>0.98355150000000002</v>
      </c>
      <c r="I50" s="1">
        <v>0.87860919999999998</v>
      </c>
      <c r="J50" s="1">
        <v>0.96392180000000005</v>
      </c>
      <c r="K50" s="1">
        <v>0</v>
      </c>
      <c r="L50" s="1">
        <v>0.1579692</v>
      </c>
      <c r="M50" s="1">
        <v>0.2481573</v>
      </c>
      <c r="N50" s="1">
        <v>5.4524400000000001E-2</v>
      </c>
      <c r="O50" s="1">
        <v>0.89844780000000002</v>
      </c>
      <c r="P50" s="1">
        <v>1.0048823</v>
      </c>
      <c r="Q50" s="1">
        <v>0.96060129999999999</v>
      </c>
      <c r="R50" s="1">
        <v>0.8868954</v>
      </c>
      <c r="S50" s="1">
        <v>0.90163870000000002</v>
      </c>
      <c r="T50" s="1">
        <v>0.91765980000000003</v>
      </c>
      <c r="U50" s="1">
        <v>0.8939435</v>
      </c>
      <c r="V50" s="1">
        <v>0.91419320000000004</v>
      </c>
      <c r="W50" s="1">
        <v>0.88627579999999995</v>
      </c>
      <c r="X50" s="1">
        <v>1.1553237000000001</v>
      </c>
      <c r="Y50" s="1">
        <v>0.88627339999999999</v>
      </c>
      <c r="Z50" s="1">
        <v>1.0747917</v>
      </c>
      <c r="AA50" s="1">
        <v>1.1759465</v>
      </c>
      <c r="AB50" s="1">
        <v>1.0828612</v>
      </c>
    </row>
    <row r="51" spans="1:28" x14ac:dyDescent="0.25">
      <c r="A51" s="8" t="s">
        <v>105</v>
      </c>
      <c r="B51" s="8" t="s">
        <v>87</v>
      </c>
      <c r="C51" s="1">
        <v>0.87609740000000003</v>
      </c>
      <c r="D51" s="1">
        <v>0.87634970000000001</v>
      </c>
      <c r="E51" s="1">
        <v>0.87511609999999995</v>
      </c>
      <c r="F51" s="1">
        <v>0.87702849999999999</v>
      </c>
      <c r="G51" s="1">
        <v>0.97946569999999999</v>
      </c>
      <c r="H51" s="1">
        <v>0.96800609999999998</v>
      </c>
      <c r="I51" s="1">
        <v>0.95021770000000005</v>
      </c>
      <c r="J51" s="1">
        <v>0.91093420000000003</v>
      </c>
      <c r="K51" s="1">
        <v>1.8686299999999999E-2</v>
      </c>
      <c r="L51" s="1">
        <v>0</v>
      </c>
      <c r="M51" s="1">
        <v>3.8768799999999999E-2</v>
      </c>
      <c r="N51" s="1">
        <v>2.0655400000000001E-2</v>
      </c>
      <c r="O51" s="1">
        <v>0.90848300000000004</v>
      </c>
      <c r="P51" s="1">
        <v>0.98262070000000001</v>
      </c>
      <c r="Q51" s="1">
        <v>1.0411140999999999</v>
      </c>
      <c r="R51" s="1">
        <v>0.8905149</v>
      </c>
      <c r="S51" s="1">
        <v>0.95255469999999998</v>
      </c>
      <c r="T51" s="1">
        <v>0.94174170000000001</v>
      </c>
      <c r="U51" s="1">
        <v>0.88610979999999995</v>
      </c>
      <c r="V51" s="1">
        <v>0.98559379999999996</v>
      </c>
      <c r="W51" s="1">
        <v>0.87694099999999997</v>
      </c>
      <c r="X51" s="1">
        <v>1.0289538</v>
      </c>
      <c r="Y51" s="1">
        <v>0.87709380000000003</v>
      </c>
      <c r="Z51" s="1">
        <v>1.0139545999999999</v>
      </c>
      <c r="AA51" s="1">
        <v>1.1725167999999999</v>
      </c>
      <c r="AB51" s="1">
        <v>1.1024296</v>
      </c>
    </row>
    <row r="52" spans="1:28" x14ac:dyDescent="0.25">
      <c r="A52" s="8" t="s">
        <v>105</v>
      </c>
      <c r="B52" s="8" t="s">
        <v>88</v>
      </c>
      <c r="C52" s="1">
        <v>0.87842799999999999</v>
      </c>
      <c r="D52" s="1">
        <v>0.89283820000000003</v>
      </c>
      <c r="E52" s="1">
        <v>0.89092590000000005</v>
      </c>
      <c r="F52" s="1">
        <v>0.89036079999999995</v>
      </c>
      <c r="G52" s="1">
        <v>0.92360969999999998</v>
      </c>
      <c r="H52" s="1">
        <v>0.96942229999999996</v>
      </c>
      <c r="I52" s="1">
        <v>0.90106529999999996</v>
      </c>
      <c r="J52" s="1">
        <v>0.93502399999999997</v>
      </c>
      <c r="K52" s="1">
        <v>1.8230900000000001E-2</v>
      </c>
      <c r="L52" s="1">
        <v>2.89996E-2</v>
      </c>
      <c r="M52" s="1">
        <v>0</v>
      </c>
      <c r="N52" s="1">
        <v>2.00019E-2</v>
      </c>
      <c r="O52" s="1">
        <v>0.89239550000000001</v>
      </c>
      <c r="P52" s="1">
        <v>0.90027520000000005</v>
      </c>
      <c r="Q52" s="1">
        <v>1.0232029</v>
      </c>
      <c r="R52" s="1">
        <v>0.90694640000000004</v>
      </c>
      <c r="S52" s="1">
        <v>0.90604949999999995</v>
      </c>
      <c r="T52" s="1">
        <v>0.88747640000000005</v>
      </c>
      <c r="U52" s="1">
        <v>0.99422719999999998</v>
      </c>
      <c r="V52" s="1">
        <v>0.88282559999999999</v>
      </c>
      <c r="W52" s="1">
        <v>0.87707570000000001</v>
      </c>
      <c r="X52" s="1">
        <v>1.0006896999999999</v>
      </c>
      <c r="Y52" s="1">
        <v>0.87673590000000001</v>
      </c>
      <c r="Z52" s="1">
        <v>1.0179393000000001</v>
      </c>
      <c r="AA52" s="1">
        <v>1.1755245000000001</v>
      </c>
      <c r="AB52" s="1">
        <v>1.0760291</v>
      </c>
    </row>
    <row r="53" spans="1:28" x14ac:dyDescent="0.25">
      <c r="A53" s="8" t="s">
        <v>105</v>
      </c>
      <c r="B53" s="8" t="s">
        <v>89</v>
      </c>
      <c r="C53" s="1">
        <v>0.89127800000000001</v>
      </c>
      <c r="D53" s="1">
        <v>0.8752356</v>
      </c>
      <c r="E53" s="1">
        <v>0.88690849999999999</v>
      </c>
      <c r="F53" s="1">
        <v>0.88401649999999998</v>
      </c>
      <c r="G53" s="1">
        <v>0.99333499999999997</v>
      </c>
      <c r="H53" s="1">
        <v>0.92673329999999998</v>
      </c>
      <c r="I53" s="1">
        <v>1.0109861</v>
      </c>
      <c r="J53" s="1">
        <v>0.88099360000000004</v>
      </c>
      <c r="K53" s="1">
        <v>2.0306600000000001E-2</v>
      </c>
      <c r="L53" s="1">
        <v>3.8254499999999997E-2</v>
      </c>
      <c r="M53" s="1">
        <v>1.8118100000000002E-2</v>
      </c>
      <c r="N53" s="1">
        <v>0</v>
      </c>
      <c r="O53" s="1">
        <v>0.9741592</v>
      </c>
      <c r="P53" s="1">
        <v>0.91889310000000002</v>
      </c>
      <c r="Q53" s="1">
        <v>0.93235230000000002</v>
      </c>
      <c r="R53" s="1">
        <v>0.94215919999999997</v>
      </c>
      <c r="S53" s="1">
        <v>0.90241839999999995</v>
      </c>
      <c r="T53" s="1">
        <v>0.89519479999999996</v>
      </c>
      <c r="U53" s="1">
        <v>0.91208460000000002</v>
      </c>
      <c r="V53" s="1">
        <v>0.96612690000000001</v>
      </c>
      <c r="W53" s="1">
        <v>0.88175230000000004</v>
      </c>
      <c r="X53" s="1">
        <v>1.0577114000000001</v>
      </c>
      <c r="Y53" s="1">
        <v>0.87891649999999999</v>
      </c>
      <c r="Z53" s="1">
        <v>1.1010040999999999</v>
      </c>
      <c r="AA53" s="1">
        <v>1.1702045999999999</v>
      </c>
      <c r="AB53" s="1">
        <v>1.0729348999999999</v>
      </c>
    </row>
    <row r="54" spans="1:28" x14ac:dyDescent="0.25">
      <c r="A54" s="8" t="s">
        <v>106</v>
      </c>
      <c r="B54" s="8" t="s">
        <v>90</v>
      </c>
      <c r="C54" s="1">
        <v>0.87727860000000002</v>
      </c>
      <c r="D54" s="1">
        <v>0.88764330000000002</v>
      </c>
      <c r="E54" s="1">
        <v>0.886965</v>
      </c>
      <c r="F54" s="1">
        <v>0.90117570000000002</v>
      </c>
      <c r="G54" s="1">
        <v>0.97645499999999996</v>
      </c>
      <c r="H54" s="1">
        <v>0.93864270000000005</v>
      </c>
      <c r="I54" s="1">
        <v>0.87715739999999998</v>
      </c>
      <c r="J54" s="1">
        <v>0.94805669999999997</v>
      </c>
      <c r="K54" s="1">
        <v>0.96314290000000002</v>
      </c>
      <c r="L54" s="1">
        <v>0.92845960000000005</v>
      </c>
      <c r="M54" s="1">
        <v>0.88863899999999996</v>
      </c>
      <c r="N54" s="1">
        <v>1.000864</v>
      </c>
      <c r="O54" s="1">
        <v>0</v>
      </c>
      <c r="P54" s="1">
        <v>4.6901199999999997E-2</v>
      </c>
      <c r="Q54" s="1">
        <v>1.9335999999999999E-2</v>
      </c>
      <c r="R54" s="1">
        <v>2.8395400000000001E-2</v>
      </c>
      <c r="S54" s="1">
        <v>0.91142579999999995</v>
      </c>
      <c r="T54" s="1">
        <v>0.94097830000000005</v>
      </c>
      <c r="U54" s="1">
        <v>0.89708759999999999</v>
      </c>
      <c r="V54" s="1">
        <v>0.96063419999999999</v>
      </c>
      <c r="W54" s="1">
        <v>0.87959529999999997</v>
      </c>
      <c r="X54" s="1">
        <v>1.0541935</v>
      </c>
      <c r="Y54" s="1">
        <v>0.88027480000000002</v>
      </c>
      <c r="Z54" s="1">
        <v>1.034122</v>
      </c>
      <c r="AA54" s="1">
        <v>1.1769811999999999</v>
      </c>
      <c r="AB54" s="1">
        <v>1.0850811</v>
      </c>
    </row>
    <row r="55" spans="1:28" x14ac:dyDescent="0.25">
      <c r="A55" s="8" t="s">
        <v>106</v>
      </c>
      <c r="B55" s="8" t="s">
        <v>91</v>
      </c>
      <c r="C55" s="1">
        <v>0.87583949999999999</v>
      </c>
      <c r="D55" s="1">
        <v>0.87665939999999998</v>
      </c>
      <c r="E55" s="1">
        <v>0.87847399999999998</v>
      </c>
      <c r="F55" s="1">
        <v>0.87970539999999997</v>
      </c>
      <c r="G55" s="1">
        <v>0.9058948</v>
      </c>
      <c r="H55" s="1">
        <v>0.94087290000000001</v>
      </c>
      <c r="I55" s="1">
        <v>0.92875810000000003</v>
      </c>
      <c r="J55" s="1">
        <v>0.89771749999999995</v>
      </c>
      <c r="K55" s="1">
        <v>0.93515899999999996</v>
      </c>
      <c r="L55" s="1">
        <v>0.89024040000000004</v>
      </c>
      <c r="M55" s="1">
        <v>0.94062950000000001</v>
      </c>
      <c r="N55" s="1">
        <v>0.92004229999999998</v>
      </c>
      <c r="O55" s="1">
        <v>2.8086900000000001E-2</v>
      </c>
      <c r="P55" s="1">
        <v>0</v>
      </c>
      <c r="Q55" s="1">
        <v>1.8878700000000002E-2</v>
      </c>
      <c r="R55" s="1">
        <v>3.7181600000000002E-2</v>
      </c>
      <c r="S55" s="1">
        <v>0.93785909999999995</v>
      </c>
      <c r="T55" s="1">
        <v>0.88722420000000002</v>
      </c>
      <c r="U55" s="1">
        <v>0.99013209999999996</v>
      </c>
      <c r="V55" s="1">
        <v>0.92011829999999994</v>
      </c>
      <c r="W55" s="1">
        <v>0.87682939999999998</v>
      </c>
      <c r="X55" s="1">
        <v>1.0868788</v>
      </c>
      <c r="Y55" s="1">
        <v>0.88394019999999995</v>
      </c>
      <c r="Z55" s="1">
        <v>1.0850713000000001</v>
      </c>
      <c r="AA55" s="1">
        <v>1.1853209</v>
      </c>
      <c r="AB55" s="1">
        <v>1.0827456</v>
      </c>
    </row>
    <row r="56" spans="1:28" x14ac:dyDescent="0.25">
      <c r="A56" s="8" t="s">
        <v>106</v>
      </c>
      <c r="B56" s="8" t="s">
        <v>92</v>
      </c>
      <c r="C56" s="1">
        <v>0.87924190000000002</v>
      </c>
      <c r="D56" s="1">
        <v>0.87930989999999998</v>
      </c>
      <c r="E56" s="1">
        <v>0.87822199999999995</v>
      </c>
      <c r="F56" s="1">
        <v>0.88934970000000002</v>
      </c>
      <c r="G56" s="1">
        <v>0.90968280000000001</v>
      </c>
      <c r="H56" s="1">
        <v>1.0106039</v>
      </c>
      <c r="I56" s="1">
        <v>0.92690870000000003</v>
      </c>
      <c r="J56" s="1">
        <v>0.89486410000000005</v>
      </c>
      <c r="K56" s="1">
        <v>0.946075</v>
      </c>
      <c r="L56" s="1">
        <v>0.88107559999999996</v>
      </c>
      <c r="M56" s="1">
        <v>0.9556692</v>
      </c>
      <c r="N56" s="1">
        <v>1.0192268</v>
      </c>
      <c r="O56" s="1">
        <v>3.7361900000000003E-2</v>
      </c>
      <c r="P56" s="1">
        <v>2.8451400000000002E-2</v>
      </c>
      <c r="Q56" s="1">
        <v>0</v>
      </c>
      <c r="R56" s="1">
        <v>3.7793399999999998E-2</v>
      </c>
      <c r="S56" s="1">
        <v>0.95913959999999998</v>
      </c>
      <c r="T56" s="1">
        <v>0.88096430000000003</v>
      </c>
      <c r="U56" s="1">
        <v>0.94979690000000006</v>
      </c>
      <c r="V56" s="1">
        <v>0.93849950000000004</v>
      </c>
      <c r="W56" s="1">
        <v>0.87727860000000002</v>
      </c>
      <c r="X56" s="1">
        <v>1.1200349000000001</v>
      </c>
      <c r="Y56" s="1">
        <v>0.87859560000000003</v>
      </c>
      <c r="Z56" s="1">
        <v>1.0019838999999999</v>
      </c>
      <c r="AA56" s="1">
        <v>1.1867327999999999</v>
      </c>
      <c r="AB56" s="1">
        <v>1.0810556</v>
      </c>
    </row>
    <row r="57" spans="1:28" x14ac:dyDescent="0.25">
      <c r="A57" s="8" t="s">
        <v>106</v>
      </c>
      <c r="B57" s="8" t="s">
        <v>93</v>
      </c>
      <c r="C57" s="1">
        <v>0.88566900000000004</v>
      </c>
      <c r="D57" s="1">
        <v>0.87889289999999998</v>
      </c>
      <c r="E57" s="1">
        <v>0.88131619999999999</v>
      </c>
      <c r="F57" s="1">
        <v>0.87579940000000001</v>
      </c>
      <c r="G57" s="1">
        <v>0.88466809999999996</v>
      </c>
      <c r="H57" s="1">
        <v>0.88068769999999996</v>
      </c>
      <c r="I57" s="1">
        <v>0.99119380000000001</v>
      </c>
      <c r="J57" s="1">
        <v>0.93521829999999995</v>
      </c>
      <c r="K57" s="1">
        <v>0.90044380000000002</v>
      </c>
      <c r="L57" s="1">
        <v>0.88254089999999996</v>
      </c>
      <c r="M57" s="1">
        <v>0.88100239999999996</v>
      </c>
      <c r="N57" s="1">
        <v>0.91031410000000001</v>
      </c>
      <c r="O57" s="1">
        <v>2.7578399999999999E-2</v>
      </c>
      <c r="P57" s="1">
        <v>4.1516299999999999E-2</v>
      </c>
      <c r="Q57" s="1">
        <v>0.13655780000000001</v>
      </c>
      <c r="R57" s="1">
        <v>0</v>
      </c>
      <c r="S57" s="1">
        <v>0.88141230000000004</v>
      </c>
      <c r="T57" s="1">
        <v>0.98088569999999997</v>
      </c>
      <c r="U57" s="1">
        <v>0.90034910000000001</v>
      </c>
      <c r="V57" s="1">
        <v>0.90561029999999998</v>
      </c>
      <c r="W57" s="1">
        <v>0.87964249999999999</v>
      </c>
      <c r="X57" s="1">
        <v>1.1003369999999999</v>
      </c>
      <c r="Y57" s="1">
        <v>0.89071420000000001</v>
      </c>
      <c r="Z57" s="1">
        <v>1.0225198</v>
      </c>
      <c r="AA57" s="1">
        <v>1.1674049</v>
      </c>
      <c r="AB57" s="1">
        <v>1.0966959000000001</v>
      </c>
    </row>
    <row r="58" spans="1:28" x14ac:dyDescent="0.25">
      <c r="A58" s="8" t="s">
        <v>107</v>
      </c>
      <c r="B58" s="8" t="s">
        <v>94</v>
      </c>
      <c r="C58" s="1">
        <v>0.87695909999999999</v>
      </c>
      <c r="D58" s="1">
        <v>0.87474870000000005</v>
      </c>
      <c r="E58" s="1">
        <v>0.87878179999999995</v>
      </c>
      <c r="F58" s="1">
        <v>0.87511519999999998</v>
      </c>
      <c r="G58" s="1">
        <v>0.92119050000000002</v>
      </c>
      <c r="H58" s="1">
        <v>0.90059900000000004</v>
      </c>
      <c r="I58" s="1">
        <v>0.93128509999999998</v>
      </c>
      <c r="J58" s="1">
        <v>0.97729639999999995</v>
      </c>
      <c r="K58" s="1">
        <v>0.92758799999999997</v>
      </c>
      <c r="L58" s="1">
        <v>0.95760369999999995</v>
      </c>
      <c r="M58" s="1">
        <v>0.88903779999999999</v>
      </c>
      <c r="N58" s="1">
        <v>0.88154529999999998</v>
      </c>
      <c r="O58" s="1">
        <v>0.92823</v>
      </c>
      <c r="P58" s="1">
        <v>0.88935520000000001</v>
      </c>
      <c r="Q58" s="1">
        <v>0.87849690000000002</v>
      </c>
      <c r="R58" s="1">
        <v>0.89002680000000001</v>
      </c>
      <c r="S58" s="1">
        <v>0</v>
      </c>
      <c r="T58" s="1">
        <v>3.8121200000000001E-2</v>
      </c>
      <c r="U58" s="1">
        <v>4.2141900000000003E-2</v>
      </c>
      <c r="V58" s="1">
        <v>3.6077999999999999E-2</v>
      </c>
      <c r="W58" s="1">
        <v>0.87532829999999995</v>
      </c>
      <c r="X58" s="1">
        <v>1.1280357999999999</v>
      </c>
      <c r="Y58" s="1">
        <v>0.87590239999999997</v>
      </c>
      <c r="Z58" s="1">
        <v>1.0241271999999999</v>
      </c>
      <c r="AA58" s="1">
        <v>1.1724336</v>
      </c>
      <c r="AB58" s="1">
        <v>1.0769804000000001</v>
      </c>
    </row>
    <row r="59" spans="1:28" x14ac:dyDescent="0.25">
      <c r="A59" s="8" t="s">
        <v>107</v>
      </c>
      <c r="B59" s="8" t="s">
        <v>95</v>
      </c>
      <c r="C59" s="1">
        <v>0.87699369999999999</v>
      </c>
      <c r="D59" s="1">
        <v>0.87914749999999997</v>
      </c>
      <c r="E59" s="1">
        <v>0.87610080000000001</v>
      </c>
      <c r="F59" s="1">
        <v>0.87778900000000004</v>
      </c>
      <c r="G59" s="1">
        <v>0.89370229999999995</v>
      </c>
      <c r="H59" s="1">
        <v>0.89733149999999995</v>
      </c>
      <c r="I59" s="1">
        <v>0.89584540000000001</v>
      </c>
      <c r="J59" s="1">
        <v>0.91196560000000004</v>
      </c>
      <c r="K59" s="1">
        <v>0.87800979999999995</v>
      </c>
      <c r="L59" s="1">
        <v>0.93839119999999998</v>
      </c>
      <c r="M59" s="1">
        <v>0.92576530000000001</v>
      </c>
      <c r="N59" s="1">
        <v>1.0425267</v>
      </c>
      <c r="O59" s="1">
        <v>0.96622059999999999</v>
      </c>
      <c r="P59" s="1">
        <v>0.96098019999999995</v>
      </c>
      <c r="Q59" s="1">
        <v>0.88263959999999997</v>
      </c>
      <c r="R59" s="1">
        <v>0.91429590000000005</v>
      </c>
      <c r="S59" s="1">
        <v>2.7565200000000002E-2</v>
      </c>
      <c r="T59" s="1">
        <v>0</v>
      </c>
      <c r="U59" s="1">
        <v>2.03249E-2</v>
      </c>
      <c r="V59" s="1">
        <v>2.8931599999999998E-2</v>
      </c>
      <c r="W59" s="1">
        <v>0.87704970000000004</v>
      </c>
      <c r="X59" s="1">
        <v>1.0455844000000001</v>
      </c>
      <c r="Y59" s="1">
        <v>0.87716459999999996</v>
      </c>
      <c r="Z59" s="1">
        <v>1.1263964</v>
      </c>
      <c r="AA59" s="1">
        <v>1.1757917</v>
      </c>
      <c r="AB59" s="1">
        <v>1.0749211000000001</v>
      </c>
    </row>
    <row r="60" spans="1:28" x14ac:dyDescent="0.25">
      <c r="A60" s="8" t="s">
        <v>107</v>
      </c>
      <c r="B60" s="8" t="s">
        <v>96</v>
      </c>
      <c r="C60" s="1">
        <v>0.8893974</v>
      </c>
      <c r="D60" s="1">
        <v>0.89187430000000001</v>
      </c>
      <c r="E60" s="1">
        <v>0.88603730000000003</v>
      </c>
      <c r="F60" s="1">
        <v>0.88656020000000002</v>
      </c>
      <c r="G60" s="1">
        <v>0.93636560000000002</v>
      </c>
      <c r="H60" s="1">
        <v>0.9910641</v>
      </c>
      <c r="I60" s="1">
        <v>0.88704970000000005</v>
      </c>
      <c r="J60" s="1">
        <v>0.95243880000000003</v>
      </c>
      <c r="K60" s="1">
        <v>0.90613480000000002</v>
      </c>
      <c r="L60" s="1">
        <v>0.89050819999999997</v>
      </c>
      <c r="M60" s="1">
        <v>0.94552610000000004</v>
      </c>
      <c r="N60" s="1">
        <v>0.99589110000000003</v>
      </c>
      <c r="O60" s="1">
        <v>0.92964170000000002</v>
      </c>
      <c r="P60" s="1">
        <v>0.88522670000000003</v>
      </c>
      <c r="Q60" s="1">
        <v>0.88889649999999998</v>
      </c>
      <c r="R60" s="1">
        <v>0.95040659999999999</v>
      </c>
      <c r="S60" s="1">
        <v>2.7277900000000001E-2</v>
      </c>
      <c r="T60" s="1">
        <v>3.7777199999999997E-2</v>
      </c>
      <c r="U60" s="1">
        <v>0</v>
      </c>
      <c r="V60" s="1">
        <v>1.9146699999999999E-2</v>
      </c>
      <c r="W60" s="1">
        <v>0.88187599999999999</v>
      </c>
      <c r="X60" s="1">
        <v>0.99969549999999996</v>
      </c>
      <c r="Y60" s="1">
        <v>0.89751479999999995</v>
      </c>
      <c r="Z60" s="1">
        <v>1.0224707</v>
      </c>
      <c r="AA60" s="1">
        <v>1.1771312</v>
      </c>
      <c r="AB60" s="1">
        <v>1.0767</v>
      </c>
    </row>
    <row r="61" spans="1:28" x14ac:dyDescent="0.25">
      <c r="A61" s="8" t="s">
        <v>107</v>
      </c>
      <c r="B61" s="8" t="s">
        <v>97</v>
      </c>
      <c r="C61" s="1">
        <v>0.88121510000000003</v>
      </c>
      <c r="D61" s="1">
        <v>0.88146659999999999</v>
      </c>
      <c r="E61" s="1">
        <v>0.8759477</v>
      </c>
      <c r="F61" s="1">
        <v>0.8907986</v>
      </c>
      <c r="G61" s="1">
        <v>0.96536140000000004</v>
      </c>
      <c r="H61" s="1">
        <v>0.96113199999999999</v>
      </c>
      <c r="I61" s="1">
        <v>0.89649440000000002</v>
      </c>
      <c r="J61" s="1">
        <v>0.88035459999999999</v>
      </c>
      <c r="K61" s="1">
        <v>0.96039319999999995</v>
      </c>
      <c r="L61" s="1">
        <v>0.93951609999999997</v>
      </c>
      <c r="M61" s="1">
        <v>0.88204689999999997</v>
      </c>
      <c r="N61" s="1">
        <v>1.0113866</v>
      </c>
      <c r="O61" s="1">
        <v>0.97449350000000001</v>
      </c>
      <c r="P61" s="1">
        <v>0.95266600000000001</v>
      </c>
      <c r="Q61" s="1">
        <v>0.88177700000000003</v>
      </c>
      <c r="R61" s="1">
        <v>0.99563409999999997</v>
      </c>
      <c r="S61" s="1">
        <v>2.72295E-2</v>
      </c>
      <c r="T61" s="1">
        <v>3.8236399999999997E-2</v>
      </c>
      <c r="U61" s="1">
        <v>3.7436700000000003E-2</v>
      </c>
      <c r="V61" s="1">
        <v>0</v>
      </c>
      <c r="W61" s="1">
        <v>0.89580630000000006</v>
      </c>
      <c r="X61" s="1">
        <v>1.0814302</v>
      </c>
      <c r="Y61" s="1">
        <v>0.88013739999999996</v>
      </c>
      <c r="Z61" s="1">
        <v>1.1051067999999999</v>
      </c>
      <c r="AA61" s="1">
        <v>1.1698314999999999</v>
      </c>
      <c r="AB61" s="1">
        <v>1.0972807</v>
      </c>
    </row>
    <row r="62" spans="1:28" x14ac:dyDescent="0.25">
      <c r="A62" s="8" t="s">
        <v>108</v>
      </c>
      <c r="B62" s="8" t="s">
        <v>98</v>
      </c>
      <c r="C62" s="1">
        <v>0.88284370000000001</v>
      </c>
      <c r="D62" s="1">
        <v>0.88253809999999999</v>
      </c>
      <c r="E62" s="1">
        <v>0.88186549999999997</v>
      </c>
      <c r="F62" s="1">
        <v>0.88195199999999996</v>
      </c>
      <c r="G62" s="1">
        <v>0.92407039999999996</v>
      </c>
      <c r="H62" s="1">
        <v>0.90931490000000004</v>
      </c>
      <c r="I62" s="1">
        <v>0.91100530000000002</v>
      </c>
      <c r="J62" s="1">
        <v>0.88272139999999999</v>
      </c>
      <c r="K62" s="1">
        <v>0.96291400000000005</v>
      </c>
      <c r="L62" s="1">
        <v>0.9535148</v>
      </c>
      <c r="M62" s="1">
        <v>0.93905400000000006</v>
      </c>
      <c r="N62" s="1">
        <v>0.90315129999999999</v>
      </c>
      <c r="O62" s="1">
        <v>0.98192190000000001</v>
      </c>
      <c r="P62" s="1">
        <v>0.91393040000000003</v>
      </c>
      <c r="Q62" s="1">
        <v>0.92646070000000003</v>
      </c>
      <c r="R62" s="1">
        <v>0.93396069999999998</v>
      </c>
      <c r="S62" s="1">
        <v>0.92034320000000003</v>
      </c>
      <c r="T62" s="1">
        <v>0.92551260000000002</v>
      </c>
      <c r="U62" s="1">
        <v>0.97131540000000005</v>
      </c>
      <c r="V62" s="1">
        <v>0.88226990000000005</v>
      </c>
      <c r="W62" s="1">
        <v>0</v>
      </c>
      <c r="X62" s="1">
        <v>8.1479999999999997E-2</v>
      </c>
      <c r="Y62" s="1">
        <v>0.8788359</v>
      </c>
      <c r="Z62" s="1">
        <v>0.97999449999999999</v>
      </c>
      <c r="AA62" s="1">
        <v>1.1535518</v>
      </c>
      <c r="AB62" s="1">
        <v>1.0618783999999999</v>
      </c>
    </row>
    <row r="63" spans="1:28" x14ac:dyDescent="0.25">
      <c r="A63" s="8" t="s">
        <v>108</v>
      </c>
      <c r="B63" s="8" t="s">
        <v>99</v>
      </c>
      <c r="C63" s="1">
        <v>0.99486160000000001</v>
      </c>
      <c r="D63" s="1">
        <v>0.95262910000000001</v>
      </c>
      <c r="E63" s="1">
        <v>0.94637179999999999</v>
      </c>
      <c r="F63" s="1">
        <v>0.94765089999999996</v>
      </c>
      <c r="G63" s="1">
        <v>0.92719790000000002</v>
      </c>
      <c r="H63" s="1">
        <v>1.0001791</v>
      </c>
      <c r="I63" s="1">
        <v>0.99407959999999995</v>
      </c>
      <c r="J63" s="1">
        <v>1.0079513</v>
      </c>
      <c r="K63" s="1">
        <v>0.96322010000000002</v>
      </c>
      <c r="L63" s="1">
        <v>1.0070924999999999</v>
      </c>
      <c r="M63" s="1">
        <v>1.0111281999999999</v>
      </c>
      <c r="N63" s="1">
        <v>1.096895</v>
      </c>
      <c r="O63" s="1">
        <v>0.99687269999999994</v>
      </c>
      <c r="P63" s="1">
        <v>0.95251660000000005</v>
      </c>
      <c r="Q63" s="1">
        <v>1.0361526000000001</v>
      </c>
      <c r="R63" s="1">
        <v>0.96065279999999997</v>
      </c>
      <c r="S63" s="1">
        <v>0.99473929999999999</v>
      </c>
      <c r="T63" s="1">
        <v>1.0609491</v>
      </c>
      <c r="U63" s="1">
        <v>1.0842464000000001</v>
      </c>
      <c r="V63" s="1">
        <v>1.0003479</v>
      </c>
      <c r="W63" s="1">
        <v>7.9565999999999998E-2</v>
      </c>
      <c r="X63" s="1">
        <v>0</v>
      </c>
      <c r="Y63" s="1">
        <v>0.97018459999999995</v>
      </c>
      <c r="Z63" s="1">
        <v>1.2596985999999999</v>
      </c>
      <c r="AA63" s="1">
        <v>1.2457342</v>
      </c>
      <c r="AB63" s="1">
        <v>1.1804847999999999</v>
      </c>
    </row>
    <row r="64" spans="1:28" x14ac:dyDescent="0.25">
      <c r="A64" s="8" t="s">
        <v>109</v>
      </c>
      <c r="B64" s="8" t="s">
        <v>100</v>
      </c>
      <c r="C64" s="1">
        <v>0.87883069999999996</v>
      </c>
      <c r="D64" s="1">
        <v>0.87790270000000004</v>
      </c>
      <c r="E64" s="1">
        <v>0.87795500000000004</v>
      </c>
      <c r="F64" s="1">
        <v>0.88037089999999996</v>
      </c>
      <c r="G64" s="1">
        <v>0.88267059999999997</v>
      </c>
      <c r="H64" s="1">
        <v>0.94644050000000002</v>
      </c>
      <c r="I64" s="1">
        <v>0.88269379999999997</v>
      </c>
      <c r="J64" s="1">
        <v>0.92533710000000002</v>
      </c>
      <c r="K64" s="1">
        <v>0.88278939999999995</v>
      </c>
      <c r="L64" s="1">
        <v>0.93421270000000001</v>
      </c>
      <c r="M64" s="1">
        <v>0.88235969999999997</v>
      </c>
      <c r="N64" s="1">
        <v>0.88940410000000003</v>
      </c>
      <c r="O64" s="1">
        <v>0.93462800000000001</v>
      </c>
      <c r="P64" s="1">
        <v>0.91020040000000002</v>
      </c>
      <c r="Q64" s="1">
        <v>0.94504520000000003</v>
      </c>
      <c r="R64" s="1">
        <v>0.91003509999999999</v>
      </c>
      <c r="S64" s="1">
        <v>0.91902879999999998</v>
      </c>
      <c r="T64" s="1">
        <v>0.92921849999999995</v>
      </c>
      <c r="U64" s="1">
        <v>0.92769840000000003</v>
      </c>
      <c r="V64" s="1">
        <v>0.98948190000000003</v>
      </c>
      <c r="W64" s="1">
        <v>0.87932969999999999</v>
      </c>
      <c r="X64" s="1">
        <v>1.3275177</v>
      </c>
      <c r="Y64" s="1">
        <v>0</v>
      </c>
      <c r="Z64" s="1">
        <v>8.8059200000000004E-2</v>
      </c>
      <c r="AA64" s="1">
        <v>1.1415200000000001</v>
      </c>
      <c r="AB64" s="1">
        <v>1.0611299999999999</v>
      </c>
    </row>
    <row r="65" spans="1:28" x14ac:dyDescent="0.25">
      <c r="A65" s="8" t="s">
        <v>109</v>
      </c>
      <c r="B65" s="8" t="s">
        <v>101</v>
      </c>
      <c r="C65" s="1">
        <v>1.0351128999999999</v>
      </c>
      <c r="D65" s="1">
        <v>0.96524600000000005</v>
      </c>
      <c r="E65" s="1">
        <v>0.93089339999999998</v>
      </c>
      <c r="F65" s="1">
        <v>0.95211219999999996</v>
      </c>
      <c r="G65" s="1">
        <v>1.0816513999999999</v>
      </c>
      <c r="H65" s="1">
        <v>1.0307329000000001</v>
      </c>
      <c r="I65" s="1">
        <v>0.92912050000000002</v>
      </c>
      <c r="J65" s="1">
        <v>1.0074886999999999</v>
      </c>
      <c r="K65" s="1">
        <v>0.96529889999999996</v>
      </c>
      <c r="L65" s="1">
        <v>1.0503073000000001</v>
      </c>
      <c r="M65" s="1">
        <v>0.93297509999999995</v>
      </c>
      <c r="N65" s="1">
        <v>1.0311737000000001</v>
      </c>
      <c r="O65" s="1">
        <v>0.97794219999999998</v>
      </c>
      <c r="P65" s="1">
        <v>1.0010711999999999</v>
      </c>
      <c r="Q65" s="1">
        <v>0.98303989999999997</v>
      </c>
      <c r="R65" s="1">
        <v>1.0305924</v>
      </c>
      <c r="S65" s="1">
        <v>0.98258380000000001</v>
      </c>
      <c r="T65" s="1">
        <v>1.0969679000000001</v>
      </c>
      <c r="U65" s="1">
        <v>1.0271151000000001</v>
      </c>
      <c r="V65" s="1">
        <v>1.0910230000000001</v>
      </c>
      <c r="W65" s="1">
        <v>0.92556139999999998</v>
      </c>
      <c r="X65" s="1">
        <v>1.3450200999999999</v>
      </c>
      <c r="Y65" s="1">
        <v>6.8414000000000003E-2</v>
      </c>
      <c r="Z65" s="1">
        <v>0</v>
      </c>
      <c r="AA65" s="1">
        <v>1.2191133000000001</v>
      </c>
      <c r="AB65" s="1">
        <v>1.1807292</v>
      </c>
    </row>
    <row r="66" spans="1:28" x14ac:dyDescent="0.25">
      <c r="A66" s="8" t="s">
        <v>122</v>
      </c>
      <c r="B66" s="8" t="s">
        <v>102</v>
      </c>
      <c r="C66" s="1">
        <v>2.0402399999999998</v>
      </c>
      <c r="D66" s="1">
        <v>2.0937728999999998</v>
      </c>
      <c r="E66" s="1">
        <v>2.0274792000000001</v>
      </c>
      <c r="F66" s="1">
        <v>2.0467979999999999</v>
      </c>
      <c r="G66" s="1">
        <v>1.8430667000000001</v>
      </c>
      <c r="H66" s="1">
        <v>1.7739765999999999</v>
      </c>
      <c r="I66" s="1">
        <v>1.9900002000000001</v>
      </c>
      <c r="J66" s="1">
        <v>1.7252657</v>
      </c>
      <c r="K66" s="1">
        <v>1.8501258</v>
      </c>
      <c r="L66" s="1">
        <v>1.9554891999999999</v>
      </c>
      <c r="M66" s="1">
        <v>1.7889533</v>
      </c>
      <c r="N66" s="1">
        <v>1.8165363999999999</v>
      </c>
      <c r="O66" s="1">
        <v>1.8269734</v>
      </c>
      <c r="P66" s="1">
        <v>1.8741231</v>
      </c>
      <c r="Q66" s="1">
        <v>1.7766816999999999</v>
      </c>
      <c r="R66" s="1">
        <v>1.8838511</v>
      </c>
      <c r="S66" s="1">
        <v>1.9582280999999999</v>
      </c>
      <c r="T66" s="1">
        <v>2.0224484999999999</v>
      </c>
      <c r="U66" s="1">
        <v>1.9039674</v>
      </c>
      <c r="V66" s="1">
        <v>1.8077207</v>
      </c>
      <c r="W66" s="1">
        <v>2.0559907000000002</v>
      </c>
      <c r="X66" s="1">
        <v>1.6778919999999999</v>
      </c>
      <c r="Y66" s="1">
        <v>2.0411581999999999</v>
      </c>
      <c r="Z66" s="1">
        <v>1.677983</v>
      </c>
      <c r="AA66" s="1">
        <v>0</v>
      </c>
      <c r="AB66" s="1">
        <v>1.7353044</v>
      </c>
    </row>
    <row r="67" spans="1:28" x14ac:dyDescent="0.25">
      <c r="A67" s="8" t="s">
        <v>123</v>
      </c>
      <c r="B67" s="8" t="s">
        <v>121</v>
      </c>
      <c r="C67" s="1">
        <v>1.6856549000000001</v>
      </c>
      <c r="D67" s="1">
        <v>1.6795298999999999</v>
      </c>
      <c r="E67" s="1">
        <v>1.7032425</v>
      </c>
      <c r="F67" s="1">
        <v>1.6803391000000001</v>
      </c>
      <c r="G67" s="1">
        <v>1.5066508999999999</v>
      </c>
      <c r="H67" s="1">
        <v>1.5065938999999999</v>
      </c>
      <c r="I67" s="1">
        <v>1.5552721</v>
      </c>
      <c r="J67" s="1">
        <v>1.4846391999999999</v>
      </c>
      <c r="K67" s="1">
        <v>1.5269847000000001</v>
      </c>
      <c r="L67" s="1">
        <v>1.5525191</v>
      </c>
      <c r="M67" s="1">
        <v>1.4639876000000001</v>
      </c>
      <c r="N67" s="1">
        <v>1.5313296000000001</v>
      </c>
      <c r="O67" s="1">
        <v>1.4664664000000001</v>
      </c>
      <c r="P67" s="1">
        <v>1.4677762999999999</v>
      </c>
      <c r="Q67" s="1">
        <v>1.497411</v>
      </c>
      <c r="R67" s="1">
        <v>1.5195746000000001</v>
      </c>
      <c r="S67" s="1">
        <v>1.3947624999999999</v>
      </c>
      <c r="T67" s="1">
        <v>1.4580717000000001</v>
      </c>
      <c r="U67" s="1">
        <v>1.4043686</v>
      </c>
      <c r="V67" s="1">
        <v>1.4685984000000001</v>
      </c>
      <c r="W67" s="1">
        <v>1.6939496999999999</v>
      </c>
      <c r="X67" s="1">
        <v>1.5077678999999999</v>
      </c>
      <c r="Y67" s="1">
        <v>1.6742492</v>
      </c>
      <c r="Z67" s="1">
        <v>1.4397249000000001</v>
      </c>
      <c r="AA67" s="1">
        <v>1.3278596</v>
      </c>
      <c r="AB67" s="1">
        <v>0</v>
      </c>
    </row>
  </sheetData>
  <mergeCells count="1">
    <mergeCell ref="B29:C30"/>
  </mergeCells>
  <conditionalFormatting sqref="C2:Z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I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:AB6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7"/>
  <sheetViews>
    <sheetView topLeftCell="A16" workbookViewId="0">
      <selection activeCell="C42" sqref="C42:AB67"/>
    </sheetView>
  </sheetViews>
  <sheetFormatPr defaultRowHeight="15" x14ac:dyDescent="0.25"/>
  <cols>
    <col min="2" max="2" width="9.140625" style="2"/>
    <col min="3" max="26" width="9.5703125" style="1" bestFit="1" customWidth="1"/>
    <col min="27" max="28" width="9.5703125" bestFit="1" customWidth="1"/>
  </cols>
  <sheetData>
    <row r="1" spans="2:26" s="2" customFormat="1" x14ac:dyDescent="0.25"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</row>
    <row r="2" spans="2:26" x14ac:dyDescent="0.25">
      <c r="B2" s="2" t="s">
        <v>79</v>
      </c>
      <c r="C2" s="1">
        <v>0</v>
      </c>
      <c r="D2" s="1">
        <v>0.89239880000000005</v>
      </c>
      <c r="E2" s="1">
        <v>0.89222570000000001</v>
      </c>
      <c r="F2" s="1">
        <v>0.89224669999999995</v>
      </c>
      <c r="G2" s="1">
        <v>0.89183809999999997</v>
      </c>
      <c r="H2" s="1">
        <v>1.0137613000000001</v>
      </c>
      <c r="I2" s="1">
        <v>0.89260269999999997</v>
      </c>
      <c r="J2" s="1">
        <v>1.8185099999999999E-2</v>
      </c>
      <c r="K2" s="1">
        <v>0.89587879999999998</v>
      </c>
      <c r="L2" s="1">
        <v>0.9040861</v>
      </c>
      <c r="M2" s="1">
        <v>0.89175439999999995</v>
      </c>
      <c r="N2" s="1">
        <v>0.89635750000000003</v>
      </c>
      <c r="O2" s="1">
        <v>1.0058975000000001</v>
      </c>
      <c r="P2" s="1">
        <v>0.93713809999999997</v>
      </c>
      <c r="Q2" s="1">
        <v>1.8010399999999999E-2</v>
      </c>
      <c r="R2" s="1">
        <v>0.89190440000000004</v>
      </c>
      <c r="S2" s="1">
        <v>0.89237549999999999</v>
      </c>
      <c r="T2" s="1">
        <v>0.89188619999999996</v>
      </c>
      <c r="U2" s="1">
        <v>0.8919127</v>
      </c>
      <c r="V2" s="1">
        <v>0.89214850000000001</v>
      </c>
      <c r="W2" s="1">
        <v>0.94944759999999995</v>
      </c>
      <c r="X2" s="1">
        <v>1.77696E-2</v>
      </c>
      <c r="Y2" s="1">
        <v>0.9034951</v>
      </c>
      <c r="Z2" s="1">
        <v>0.89843989999999996</v>
      </c>
    </row>
    <row r="3" spans="2:26" x14ac:dyDescent="0.25">
      <c r="B3" s="2" t="s">
        <v>80</v>
      </c>
      <c r="C3" s="1">
        <v>0.89322420000000002</v>
      </c>
      <c r="D3" s="1">
        <v>0</v>
      </c>
      <c r="E3" s="1">
        <v>0.92233509999999996</v>
      </c>
      <c r="F3" s="1">
        <v>0.9567947</v>
      </c>
      <c r="G3" s="1">
        <v>0.89366959999999995</v>
      </c>
      <c r="H3" s="1">
        <v>1.0271509000000001</v>
      </c>
      <c r="I3" s="1">
        <v>0.95805220000000002</v>
      </c>
      <c r="J3" s="1">
        <v>0.99553659999999999</v>
      </c>
      <c r="K3" s="1">
        <v>3.7224300000000002E-2</v>
      </c>
      <c r="L3" s="1">
        <v>0.95748540000000004</v>
      </c>
      <c r="M3" s="1">
        <v>0.95603369999999999</v>
      </c>
      <c r="N3" s="1">
        <v>0.91676500000000005</v>
      </c>
      <c r="O3" s="1">
        <v>0.95552539999999997</v>
      </c>
      <c r="P3" s="1">
        <v>1.0900707000000001</v>
      </c>
      <c r="Q3" s="1">
        <v>0.89757180000000003</v>
      </c>
      <c r="R3" s="1">
        <v>1.7718100000000001E-2</v>
      </c>
      <c r="S3" s="1">
        <v>0.94713899999999995</v>
      </c>
      <c r="T3" s="1">
        <v>0.95085640000000005</v>
      </c>
      <c r="U3" s="1">
        <v>0.89376040000000001</v>
      </c>
      <c r="V3" s="1">
        <v>0.92155960000000003</v>
      </c>
      <c r="W3" s="1">
        <v>1.1031845</v>
      </c>
      <c r="X3" s="1">
        <v>0.90705970000000002</v>
      </c>
      <c r="Y3" s="1">
        <v>1.8514900000000001E-2</v>
      </c>
      <c r="Z3" s="1">
        <v>0.99294610000000005</v>
      </c>
    </row>
    <row r="4" spans="2:26" x14ac:dyDescent="0.25">
      <c r="B4" s="2" t="s">
        <v>81</v>
      </c>
      <c r="C4" s="1">
        <v>0.89361740000000001</v>
      </c>
      <c r="D4" s="1">
        <v>1.0017216</v>
      </c>
      <c r="E4" s="1">
        <v>0</v>
      </c>
      <c r="F4" s="1">
        <v>0.94434019999999996</v>
      </c>
      <c r="G4" s="1">
        <v>0.90540050000000005</v>
      </c>
      <c r="H4" s="1">
        <v>0.95024560000000002</v>
      </c>
      <c r="I4" s="1">
        <v>0.89311149999999995</v>
      </c>
      <c r="J4" s="1">
        <v>0.91693259999999999</v>
      </c>
      <c r="K4" s="1">
        <v>0.95657349999999997</v>
      </c>
      <c r="L4" s="1">
        <v>1.8541100000000001E-2</v>
      </c>
      <c r="M4" s="1">
        <v>0.89339109999999999</v>
      </c>
      <c r="N4" s="1">
        <v>0.96664709999999998</v>
      </c>
      <c r="O4" s="1">
        <v>0.98596669999999997</v>
      </c>
      <c r="P4" s="1">
        <v>0.96364070000000002</v>
      </c>
      <c r="Q4" s="1">
        <v>0.89336059999999995</v>
      </c>
      <c r="R4" s="1">
        <v>0.93251609999999996</v>
      </c>
      <c r="S4" s="1">
        <v>3.4554000000000001E-2</v>
      </c>
      <c r="T4" s="1">
        <v>0.89330600000000004</v>
      </c>
      <c r="U4" s="1">
        <v>0.90915270000000004</v>
      </c>
      <c r="V4" s="1">
        <v>0.92684889999999998</v>
      </c>
      <c r="W4" s="1">
        <v>1.0401087</v>
      </c>
      <c r="X4" s="1">
        <v>0.90383860000000005</v>
      </c>
      <c r="Y4" s="1">
        <v>0.91804839999999999</v>
      </c>
      <c r="Z4" s="1">
        <v>5.8252600000000002E-2</v>
      </c>
    </row>
    <row r="5" spans="2:26" x14ac:dyDescent="0.25">
      <c r="B5" s="2" t="s">
        <v>82</v>
      </c>
      <c r="C5" s="1">
        <v>0.89647080000000001</v>
      </c>
      <c r="D5" s="1">
        <v>0.89597939999999998</v>
      </c>
      <c r="E5" s="1">
        <v>0.92626310000000001</v>
      </c>
      <c r="F5" s="1">
        <v>0</v>
      </c>
      <c r="G5" s="1">
        <v>0.89822959999999996</v>
      </c>
      <c r="H5" s="1">
        <v>0.94391159999999996</v>
      </c>
      <c r="I5" s="1">
        <v>0.89298699999999998</v>
      </c>
      <c r="J5" s="1">
        <v>0.89365790000000001</v>
      </c>
      <c r="K5" s="1">
        <v>0.89420750000000004</v>
      </c>
      <c r="L5" s="1">
        <v>0.89439749999999996</v>
      </c>
      <c r="M5" s="1">
        <v>1.8186299999999999E-2</v>
      </c>
      <c r="N5" s="1">
        <v>0.89361239999999997</v>
      </c>
      <c r="O5" s="1">
        <v>0.94148560000000003</v>
      </c>
      <c r="P5" s="1">
        <v>0.93998599999999999</v>
      </c>
      <c r="Q5" s="1">
        <v>0.89349080000000003</v>
      </c>
      <c r="R5" s="1">
        <v>0.89422509999999999</v>
      </c>
      <c r="S5" s="1">
        <v>0.92250659999999995</v>
      </c>
      <c r="T5" s="1">
        <v>1.78146E-2</v>
      </c>
      <c r="U5" s="1">
        <v>0.8938739</v>
      </c>
      <c r="V5" s="1">
        <v>0.89592190000000005</v>
      </c>
      <c r="W5" s="1">
        <v>0.94879440000000004</v>
      </c>
      <c r="X5" s="1">
        <v>0.89375210000000005</v>
      </c>
      <c r="Y5" s="1">
        <v>0.90336300000000003</v>
      </c>
      <c r="Z5" s="1">
        <v>0.89498639999999996</v>
      </c>
    </row>
    <row r="6" spans="2:26" x14ac:dyDescent="0.25">
      <c r="B6" s="2" t="s">
        <v>83</v>
      </c>
      <c r="C6" s="1">
        <v>0.89312219999999998</v>
      </c>
      <c r="D6" s="1">
        <v>0.89622020000000002</v>
      </c>
      <c r="E6" s="1">
        <v>0.91648220000000002</v>
      </c>
      <c r="F6" s="1">
        <v>0.89363840000000005</v>
      </c>
      <c r="G6" s="1">
        <v>0</v>
      </c>
      <c r="H6" s="1">
        <v>0.93705680000000002</v>
      </c>
      <c r="I6" s="1">
        <v>0.89335850000000006</v>
      </c>
      <c r="J6" s="1">
        <v>0.89325759999999998</v>
      </c>
      <c r="K6" s="1">
        <v>0.89675930000000004</v>
      </c>
      <c r="L6" s="1">
        <v>0.90121669999999998</v>
      </c>
      <c r="M6" s="1">
        <v>0.89377740000000006</v>
      </c>
      <c r="N6" s="1">
        <v>1.8579999999999999E-2</v>
      </c>
      <c r="O6" s="1">
        <v>0.97840260000000001</v>
      </c>
      <c r="P6" s="1">
        <v>0.96272369999999996</v>
      </c>
      <c r="Q6" s="1">
        <v>0.89301090000000005</v>
      </c>
      <c r="R6" s="1">
        <v>0.89411450000000003</v>
      </c>
      <c r="S6" s="1">
        <v>0.89688559999999995</v>
      </c>
      <c r="T6" s="1">
        <v>0.89437509999999998</v>
      </c>
      <c r="U6" s="1">
        <v>1.89502E-2</v>
      </c>
      <c r="V6" s="1">
        <v>0.89283630000000003</v>
      </c>
      <c r="W6" s="1">
        <v>0.9343612</v>
      </c>
      <c r="X6" s="1">
        <v>0.89334610000000003</v>
      </c>
      <c r="Y6" s="1">
        <v>0.89934780000000003</v>
      </c>
      <c r="Z6" s="1">
        <v>0.89671900000000004</v>
      </c>
    </row>
    <row r="7" spans="2:26" x14ac:dyDescent="0.25">
      <c r="B7" s="2" t="s">
        <v>84</v>
      </c>
      <c r="C7" s="1">
        <v>0.89235160000000002</v>
      </c>
      <c r="D7" s="1">
        <v>1.0254175999999999</v>
      </c>
      <c r="E7" s="1">
        <v>0.93645789999999995</v>
      </c>
      <c r="F7" s="1">
        <v>1.0216405</v>
      </c>
      <c r="G7" s="1">
        <v>1.0774291</v>
      </c>
      <c r="H7" s="1">
        <v>0</v>
      </c>
      <c r="I7" s="1">
        <v>1.1612384</v>
      </c>
      <c r="J7" s="1">
        <v>1.10303</v>
      </c>
      <c r="K7" s="1">
        <v>0.99774289999999999</v>
      </c>
      <c r="L7" s="1">
        <v>1.0663556999999999</v>
      </c>
      <c r="M7" s="1">
        <v>1.0137658000000001</v>
      </c>
      <c r="N7" s="1">
        <v>1.1416854999999999</v>
      </c>
      <c r="O7" s="1">
        <v>0.97654010000000002</v>
      </c>
      <c r="P7" s="1">
        <v>1.2064557</v>
      </c>
      <c r="Q7" s="1">
        <v>1.070451</v>
      </c>
      <c r="R7" s="1">
        <v>1.1199171999999999</v>
      </c>
      <c r="S7" s="1">
        <v>1.0009246000000001</v>
      </c>
      <c r="T7" s="1">
        <v>1.0601491999999999</v>
      </c>
      <c r="U7" s="1">
        <v>1.0193669999999999</v>
      </c>
      <c r="V7" s="1">
        <v>6.5656699999999998E-2</v>
      </c>
      <c r="W7" s="1">
        <v>1.1104115999999999</v>
      </c>
      <c r="X7" s="1">
        <v>1.0192804</v>
      </c>
      <c r="Y7" s="1">
        <v>1.1640934999999999</v>
      </c>
      <c r="Z7" s="1">
        <v>1.0289836000000001</v>
      </c>
    </row>
    <row r="8" spans="2:26" x14ac:dyDescent="0.25">
      <c r="B8" s="2" t="s">
        <v>85</v>
      </c>
      <c r="C8" s="1">
        <v>0.99010160000000003</v>
      </c>
      <c r="D8" s="1">
        <v>0.89383029999999997</v>
      </c>
      <c r="E8" s="1">
        <v>0.89217279999999999</v>
      </c>
      <c r="F8" s="1">
        <v>0.89233039999999997</v>
      </c>
      <c r="G8" s="1">
        <v>0.89220860000000002</v>
      </c>
      <c r="H8" s="1">
        <v>1.0054934</v>
      </c>
      <c r="I8" s="1">
        <v>0</v>
      </c>
      <c r="J8" s="1">
        <v>0.89165000000000005</v>
      </c>
      <c r="K8" s="1">
        <v>0.89747120000000002</v>
      </c>
      <c r="L8" s="1">
        <v>0.89209340000000004</v>
      </c>
      <c r="M8" s="1">
        <v>0.89229939999999996</v>
      </c>
      <c r="N8" s="1">
        <v>0.89214729999999998</v>
      </c>
      <c r="O8" s="1">
        <v>1.0089915</v>
      </c>
      <c r="P8" s="1">
        <v>7.3742199999999994E-2</v>
      </c>
      <c r="Q8" s="1">
        <v>0.89164569999999999</v>
      </c>
      <c r="R8" s="1">
        <v>0.90041590000000005</v>
      </c>
      <c r="S8" s="1">
        <v>0.89730379999999998</v>
      </c>
      <c r="T8" s="1">
        <v>0.89230180000000003</v>
      </c>
      <c r="U8" s="1">
        <v>0.89216209999999996</v>
      </c>
      <c r="V8" s="1">
        <v>0.89214610000000005</v>
      </c>
      <c r="W8" s="1">
        <v>7.1235400000000004E-2</v>
      </c>
      <c r="X8" s="1">
        <v>0.89196679999999995</v>
      </c>
      <c r="Y8" s="1">
        <v>0.89495420000000003</v>
      </c>
      <c r="Z8" s="1">
        <v>0.89444299999999999</v>
      </c>
    </row>
    <row r="9" spans="2:26" x14ac:dyDescent="0.25">
      <c r="B9" s="2" t="s">
        <v>86</v>
      </c>
      <c r="C9" s="1">
        <v>1.91939E-2</v>
      </c>
      <c r="D9" s="1">
        <v>0.89519479999999996</v>
      </c>
      <c r="E9" s="1">
        <v>0.89356519999999995</v>
      </c>
      <c r="F9" s="1">
        <v>0.89341760000000003</v>
      </c>
      <c r="G9" s="1">
        <v>0.89369770000000004</v>
      </c>
      <c r="H9" s="1">
        <v>1.0587008</v>
      </c>
      <c r="I9" s="1">
        <v>0.89300990000000002</v>
      </c>
      <c r="J9" s="1">
        <v>0</v>
      </c>
      <c r="K9" s="1">
        <v>0.89203049999999995</v>
      </c>
      <c r="L9" s="1">
        <v>0.89221019999999995</v>
      </c>
      <c r="M9" s="1">
        <v>0.89231729999999998</v>
      </c>
      <c r="N9" s="1">
        <v>0.89231159999999998</v>
      </c>
      <c r="O9" s="1">
        <v>0.95420459999999996</v>
      </c>
      <c r="P9" s="1">
        <v>0.9581769</v>
      </c>
      <c r="Q9" s="1">
        <v>1.8720899999999999E-2</v>
      </c>
      <c r="R9" s="1">
        <v>0.89263440000000005</v>
      </c>
      <c r="S9" s="1">
        <v>0.90918849999999996</v>
      </c>
      <c r="T9" s="1">
        <v>0.89232330000000004</v>
      </c>
      <c r="U9" s="1">
        <v>0.89242460000000001</v>
      </c>
      <c r="V9" s="1">
        <v>0.89932129999999999</v>
      </c>
      <c r="W9" s="1">
        <v>0.94659349999999998</v>
      </c>
      <c r="X9" s="1">
        <v>1.8100000000000002E-2</v>
      </c>
      <c r="Y9" s="1">
        <v>0.89989730000000001</v>
      </c>
      <c r="Z9" s="1">
        <v>0.89590910000000001</v>
      </c>
    </row>
    <row r="10" spans="2:26" x14ac:dyDescent="0.25">
      <c r="B10" s="2" t="s">
        <v>87</v>
      </c>
      <c r="C10" s="1">
        <v>0.97368500000000002</v>
      </c>
      <c r="D10" s="1">
        <v>1.8871099999999998E-2</v>
      </c>
      <c r="E10" s="1">
        <v>0.92595910000000003</v>
      </c>
      <c r="F10" s="1">
        <v>0.96332790000000001</v>
      </c>
      <c r="G10" s="1">
        <v>0.94504549999999998</v>
      </c>
      <c r="H10" s="1">
        <v>1.0717391999999999</v>
      </c>
      <c r="I10" s="1">
        <v>0.92504839999999999</v>
      </c>
      <c r="J10" s="1">
        <v>0.97971149999999996</v>
      </c>
      <c r="K10" s="1">
        <v>0</v>
      </c>
      <c r="L10" s="1">
        <v>0.89740089999999995</v>
      </c>
      <c r="M10" s="1">
        <v>0.9052403</v>
      </c>
      <c r="N10" s="1">
        <v>0.89362410000000003</v>
      </c>
      <c r="O10" s="1">
        <v>1.0540423000000001</v>
      </c>
      <c r="P10" s="1">
        <v>1.105011</v>
      </c>
      <c r="Q10" s="1">
        <v>0.94437979999999999</v>
      </c>
      <c r="R10" s="1">
        <v>0.37958259999999999</v>
      </c>
      <c r="S10" s="1">
        <v>1.0712284999999999</v>
      </c>
      <c r="T10" s="1">
        <v>0.89472079999999998</v>
      </c>
      <c r="U10" s="1">
        <v>0.91938299999999995</v>
      </c>
      <c r="V10" s="1">
        <v>0.90104580000000001</v>
      </c>
      <c r="W10" s="1">
        <v>0.95588249999999997</v>
      </c>
      <c r="X10" s="1">
        <v>0.92061159999999997</v>
      </c>
      <c r="Y10" s="1">
        <v>4.2559399999999997E-2</v>
      </c>
      <c r="Z10" s="1">
        <v>0.99503560000000002</v>
      </c>
    </row>
    <row r="11" spans="2:26" x14ac:dyDescent="0.25">
      <c r="B11" s="2" t="s">
        <v>88</v>
      </c>
      <c r="C11" s="1">
        <v>0.90115049999999997</v>
      </c>
      <c r="D11" s="1">
        <v>0.92767359999999999</v>
      </c>
      <c r="E11" s="1">
        <v>2.88887E-2</v>
      </c>
      <c r="F11" s="1">
        <v>0.98009630000000003</v>
      </c>
      <c r="G11" s="1">
        <v>0.93322090000000002</v>
      </c>
      <c r="H11" s="1">
        <v>1.0715408</v>
      </c>
      <c r="I11" s="1">
        <v>0.92833449999999995</v>
      </c>
      <c r="J11" s="1">
        <v>0.97582100000000005</v>
      </c>
      <c r="K11" s="1">
        <v>0.92515849999999999</v>
      </c>
      <c r="L11" s="1">
        <v>0</v>
      </c>
      <c r="M11" s="1">
        <v>0.893702</v>
      </c>
      <c r="N11" s="1">
        <v>0.94528270000000003</v>
      </c>
      <c r="O11" s="1">
        <v>0.97219180000000005</v>
      </c>
      <c r="P11" s="1">
        <v>0.95487670000000002</v>
      </c>
      <c r="Q11" s="1">
        <v>0.9039412</v>
      </c>
      <c r="R11" s="1">
        <v>0.9230642</v>
      </c>
      <c r="S11" s="1">
        <v>2.7688500000000001E-2</v>
      </c>
      <c r="T11" s="1">
        <v>0.97575089999999998</v>
      </c>
      <c r="U11" s="1">
        <v>0.9409168</v>
      </c>
      <c r="V11" s="1">
        <v>0.90285110000000002</v>
      </c>
      <c r="W11" s="1">
        <v>1.043191</v>
      </c>
      <c r="X11" s="1">
        <v>0.98736670000000004</v>
      </c>
      <c r="Y11" s="1">
        <v>0.98425870000000004</v>
      </c>
      <c r="Z11" s="1">
        <v>2.7409599999999999E-2</v>
      </c>
    </row>
    <row r="12" spans="2:26" x14ac:dyDescent="0.25">
      <c r="B12" s="2" t="s">
        <v>89</v>
      </c>
      <c r="C12" s="1">
        <v>0.89499519999999999</v>
      </c>
      <c r="D12" s="1">
        <v>0.90801259999999995</v>
      </c>
      <c r="E12" s="1">
        <v>0.89838309999999999</v>
      </c>
      <c r="F12" s="1">
        <v>1.8918999999999998E-2</v>
      </c>
      <c r="G12" s="1">
        <v>0.89513089999999995</v>
      </c>
      <c r="H12" s="1">
        <v>0.9363823</v>
      </c>
      <c r="I12" s="1">
        <v>0.89435200000000004</v>
      </c>
      <c r="J12" s="1">
        <v>0.89503650000000001</v>
      </c>
      <c r="K12" s="1">
        <v>0.89585610000000004</v>
      </c>
      <c r="L12" s="1">
        <v>0.89503120000000003</v>
      </c>
      <c r="M12" s="1">
        <v>0</v>
      </c>
      <c r="N12" s="1">
        <v>0.89360790000000001</v>
      </c>
      <c r="O12" s="1">
        <v>1.0139875</v>
      </c>
      <c r="P12" s="1">
        <v>0.95525530000000003</v>
      </c>
      <c r="Q12" s="1">
        <v>0.89371489999999998</v>
      </c>
      <c r="R12" s="1">
        <v>0.89611510000000005</v>
      </c>
      <c r="S12" s="1">
        <v>0.89389010000000002</v>
      </c>
      <c r="T12" s="1">
        <v>1.81417E-2</v>
      </c>
      <c r="U12" s="1">
        <v>0.89388060000000003</v>
      </c>
      <c r="V12" s="1">
        <v>0.89335419999999999</v>
      </c>
      <c r="W12" s="1">
        <v>0.94701789999999997</v>
      </c>
      <c r="X12" s="1">
        <v>0.89350989999999997</v>
      </c>
      <c r="Y12" s="1">
        <v>0.90154979999999996</v>
      </c>
      <c r="Z12" s="1">
        <v>0.89455530000000005</v>
      </c>
    </row>
    <row r="13" spans="2:26" x14ac:dyDescent="0.25">
      <c r="B13" s="2" t="s">
        <v>90</v>
      </c>
      <c r="C13" s="1">
        <v>0.8942909</v>
      </c>
      <c r="D13" s="1">
        <v>0.89598109999999997</v>
      </c>
      <c r="E13" s="1">
        <v>0.89586809999999995</v>
      </c>
      <c r="F13" s="1">
        <v>0.89550090000000004</v>
      </c>
      <c r="G13" s="1">
        <v>1.8704700000000001E-2</v>
      </c>
      <c r="H13" s="1">
        <v>0.9640417</v>
      </c>
      <c r="I13" s="1">
        <v>0.89473199999999997</v>
      </c>
      <c r="J13" s="1">
        <v>0.89472249999999998</v>
      </c>
      <c r="K13" s="1">
        <v>0.8981614</v>
      </c>
      <c r="L13" s="1">
        <v>0.89548419999999995</v>
      </c>
      <c r="M13" s="1">
        <v>0.8956385</v>
      </c>
      <c r="N13" s="1">
        <v>0</v>
      </c>
      <c r="O13" s="1">
        <v>1.0091918</v>
      </c>
      <c r="P13" s="1">
        <v>0.95086309999999996</v>
      </c>
      <c r="Q13" s="1">
        <v>0.89311929999999995</v>
      </c>
      <c r="R13" s="1">
        <v>0.89408849999999995</v>
      </c>
      <c r="S13" s="1">
        <v>0.90528370000000002</v>
      </c>
      <c r="T13" s="1">
        <v>0.89366699999999999</v>
      </c>
      <c r="U13" s="1">
        <v>1.79782E-2</v>
      </c>
      <c r="V13" s="1">
        <v>0.89288120000000004</v>
      </c>
      <c r="W13" s="1">
        <v>0.93912359999999995</v>
      </c>
      <c r="X13" s="1">
        <v>0.89314749999999998</v>
      </c>
      <c r="Y13" s="1">
        <v>0.89542270000000002</v>
      </c>
      <c r="Z13" s="1">
        <v>0.91252659999999997</v>
      </c>
    </row>
    <row r="14" spans="2:26" x14ac:dyDescent="0.25">
      <c r="B14" s="2" t="s">
        <v>91</v>
      </c>
      <c r="C14" s="1">
        <v>1.0303983999999999</v>
      </c>
      <c r="D14" s="1">
        <v>1.0310481</v>
      </c>
      <c r="E14" s="1">
        <v>1.0500205</v>
      </c>
      <c r="F14" s="1">
        <v>1.0704334</v>
      </c>
      <c r="G14" s="1">
        <v>1.0105044999999999</v>
      </c>
      <c r="H14" s="1">
        <v>0.99568939999999995</v>
      </c>
      <c r="I14" s="1">
        <v>1.0202351000000001</v>
      </c>
      <c r="J14" s="1">
        <v>1.0183941999999999</v>
      </c>
      <c r="K14" s="1">
        <v>1.0149550000000001</v>
      </c>
      <c r="L14" s="1">
        <v>1.080287</v>
      </c>
      <c r="M14" s="1">
        <v>1.0304519999999999</v>
      </c>
      <c r="N14" s="1">
        <v>1.0364994999999999</v>
      </c>
      <c r="O14" s="1">
        <v>0</v>
      </c>
      <c r="P14" s="1">
        <v>1.2076571</v>
      </c>
      <c r="Q14" s="1">
        <v>1.0205328</v>
      </c>
      <c r="R14" s="1">
        <v>1.1001177</v>
      </c>
      <c r="S14" s="1">
        <v>1.0104002999999999</v>
      </c>
      <c r="T14" s="1">
        <v>1.1004498</v>
      </c>
      <c r="U14" s="1">
        <v>0.99075440000000004</v>
      </c>
      <c r="V14" s="1">
        <v>6.9633200000000006E-2</v>
      </c>
      <c r="W14" s="1">
        <v>1.0803094</v>
      </c>
      <c r="X14" s="1">
        <v>1.060092</v>
      </c>
      <c r="Y14" s="1">
        <v>1.1167247</v>
      </c>
      <c r="Z14" s="1">
        <v>1.0435052</v>
      </c>
    </row>
    <row r="15" spans="2:26" x14ac:dyDescent="0.25">
      <c r="B15" s="2" t="s">
        <v>92</v>
      </c>
      <c r="C15" s="1">
        <v>1.0393314</v>
      </c>
      <c r="D15" s="1">
        <v>1.0537167000000001</v>
      </c>
      <c r="E15" s="1">
        <v>1.026546</v>
      </c>
      <c r="F15" s="1">
        <v>1.1023008999999999</v>
      </c>
      <c r="G15" s="1">
        <v>1.0103507</v>
      </c>
      <c r="H15" s="1">
        <v>1.0802224</v>
      </c>
      <c r="I15" s="1">
        <v>7.6865699999999995E-2</v>
      </c>
      <c r="J15" s="1">
        <v>1.0301175</v>
      </c>
      <c r="K15" s="1">
        <v>1.0212033</v>
      </c>
      <c r="L15" s="1">
        <v>1.0258417</v>
      </c>
      <c r="M15" s="1">
        <v>1.0204601</v>
      </c>
      <c r="N15" s="1">
        <v>1.0172431</v>
      </c>
      <c r="O15" s="1">
        <v>1.0903427999999999</v>
      </c>
      <c r="P15" s="1">
        <v>0</v>
      </c>
      <c r="Q15" s="1">
        <v>1.0401895000000001</v>
      </c>
      <c r="R15" s="1">
        <v>1.0219278000000001</v>
      </c>
      <c r="S15" s="1">
        <v>1.0249317</v>
      </c>
      <c r="T15" s="1">
        <v>1.0750415</v>
      </c>
      <c r="U15" s="1">
        <v>1.1154742</v>
      </c>
      <c r="V15" s="1">
        <v>0.98990440000000002</v>
      </c>
      <c r="W15" s="1">
        <v>0.8350341</v>
      </c>
      <c r="X15" s="1">
        <v>1.0344777000000001</v>
      </c>
      <c r="Y15" s="1">
        <v>1.0141842000000001</v>
      </c>
      <c r="Z15" s="1">
        <v>1.0246729999999999</v>
      </c>
    </row>
    <row r="16" spans="2:26" x14ac:dyDescent="0.25">
      <c r="B16" s="2" t="s">
        <v>93</v>
      </c>
      <c r="C16" s="1">
        <v>1.88825E-2</v>
      </c>
      <c r="D16" s="1">
        <v>0.89395020000000003</v>
      </c>
      <c r="E16" s="1">
        <v>0.8979182</v>
      </c>
      <c r="F16" s="1">
        <v>0.89341550000000003</v>
      </c>
      <c r="G16" s="1">
        <v>0.89394640000000003</v>
      </c>
      <c r="H16" s="1">
        <v>0.95408559999999998</v>
      </c>
      <c r="I16" s="1">
        <v>0.89356990000000003</v>
      </c>
      <c r="J16" s="1">
        <v>1.9320500000000001E-2</v>
      </c>
      <c r="K16" s="1">
        <v>0.89390899999999995</v>
      </c>
      <c r="L16" s="1">
        <v>0.90505029999999997</v>
      </c>
      <c r="M16" s="1">
        <v>0.89378880000000005</v>
      </c>
      <c r="N16" s="1">
        <v>0.89378049999999998</v>
      </c>
      <c r="O16" s="1">
        <v>0.97741960000000006</v>
      </c>
      <c r="P16" s="1">
        <v>0.98297829999999997</v>
      </c>
      <c r="Q16" s="1">
        <v>0</v>
      </c>
      <c r="R16" s="1">
        <v>0.89217210000000002</v>
      </c>
      <c r="S16" s="1">
        <v>0.89979169999999997</v>
      </c>
      <c r="T16" s="1">
        <v>0.89231990000000005</v>
      </c>
      <c r="U16" s="1">
        <v>0.89252379999999998</v>
      </c>
      <c r="V16" s="1">
        <v>0.8921924</v>
      </c>
      <c r="W16" s="1">
        <v>0.96647689999999997</v>
      </c>
      <c r="X16" s="1">
        <v>1.78485E-2</v>
      </c>
      <c r="Y16" s="1">
        <v>0.89213089999999995</v>
      </c>
      <c r="Z16" s="1">
        <v>0.89663979999999999</v>
      </c>
    </row>
    <row r="17" spans="2:26" x14ac:dyDescent="0.25">
      <c r="B17" s="2" t="s">
        <v>94</v>
      </c>
      <c r="C17" s="1">
        <v>0.92519070000000003</v>
      </c>
      <c r="D17" s="1">
        <v>1.9085600000000001E-2</v>
      </c>
      <c r="E17" s="1">
        <v>0.91183040000000004</v>
      </c>
      <c r="F17" s="1">
        <v>0.9957087</v>
      </c>
      <c r="G17" s="1">
        <v>0.96330950000000004</v>
      </c>
      <c r="H17" s="1">
        <v>0.99886129999999995</v>
      </c>
      <c r="I17" s="1">
        <v>0.96009140000000004</v>
      </c>
      <c r="J17" s="1">
        <v>1.0027554000000001</v>
      </c>
      <c r="K17" s="1">
        <v>3.7990599999999999E-2</v>
      </c>
      <c r="L17" s="1">
        <v>0.99263950000000001</v>
      </c>
      <c r="M17" s="1">
        <v>0.91553640000000003</v>
      </c>
      <c r="N17" s="1">
        <v>0.89656420000000003</v>
      </c>
      <c r="O17" s="1">
        <v>1.0050749999999999</v>
      </c>
      <c r="P17" s="1">
        <v>1.0446234000000001</v>
      </c>
      <c r="Q17" s="1">
        <v>0.94616599999999995</v>
      </c>
      <c r="R17" s="1">
        <v>0</v>
      </c>
      <c r="S17" s="1">
        <v>0.89487079999999997</v>
      </c>
      <c r="T17" s="1">
        <v>0.89676279999999997</v>
      </c>
      <c r="U17" s="1">
        <v>0.95612050000000004</v>
      </c>
      <c r="V17" s="1">
        <v>0.93012830000000002</v>
      </c>
      <c r="W17" s="1">
        <v>0.98509029999999997</v>
      </c>
      <c r="X17" s="1">
        <v>0.93843390000000004</v>
      </c>
      <c r="Y17" s="1">
        <v>2.7231000000000002E-2</v>
      </c>
      <c r="Z17" s="1">
        <v>0.92621710000000002</v>
      </c>
    </row>
    <row r="18" spans="2:26" x14ac:dyDescent="0.25">
      <c r="B18" s="2" t="s">
        <v>95</v>
      </c>
      <c r="C18" s="1">
        <v>0.92900320000000003</v>
      </c>
      <c r="D18" s="1">
        <v>1.0161879</v>
      </c>
      <c r="E18" s="1">
        <v>3.9013399999999997E-2</v>
      </c>
      <c r="F18" s="1">
        <v>0.89387539999999999</v>
      </c>
      <c r="G18" s="1">
        <v>0.97607250000000001</v>
      </c>
      <c r="H18" s="1">
        <v>1.0524182</v>
      </c>
      <c r="I18" s="1">
        <v>0.89486840000000001</v>
      </c>
      <c r="J18" s="1">
        <v>0.92289920000000003</v>
      </c>
      <c r="K18" s="1">
        <v>0.91380329999999999</v>
      </c>
      <c r="L18" s="1">
        <v>3.0167599999999999E-2</v>
      </c>
      <c r="M18" s="1">
        <v>0.9697595</v>
      </c>
      <c r="N18" s="1">
        <v>0.95728449999999998</v>
      </c>
      <c r="O18" s="1">
        <v>0.95950749999999996</v>
      </c>
      <c r="P18" s="1">
        <v>0.96258710000000003</v>
      </c>
      <c r="Q18" s="1">
        <v>0.97709040000000003</v>
      </c>
      <c r="R18" s="1">
        <v>0.92885569999999995</v>
      </c>
      <c r="S18" s="1">
        <v>0</v>
      </c>
      <c r="T18" s="1">
        <v>0.94085839999999998</v>
      </c>
      <c r="U18" s="1">
        <v>0.97325280000000003</v>
      </c>
      <c r="V18" s="1">
        <v>0.90272969999999997</v>
      </c>
      <c r="W18" s="1">
        <v>0.95170569999999999</v>
      </c>
      <c r="X18" s="1">
        <v>0.970113</v>
      </c>
      <c r="Y18" s="1">
        <v>0.96890120000000002</v>
      </c>
      <c r="Z18" s="1">
        <v>1.9543399999999999E-2</v>
      </c>
    </row>
    <row r="19" spans="2:26" x14ac:dyDescent="0.25">
      <c r="B19" s="2" t="s">
        <v>96</v>
      </c>
      <c r="C19" s="1">
        <v>0.8948855</v>
      </c>
      <c r="D19" s="1">
        <v>0.8974645</v>
      </c>
      <c r="E19" s="1">
        <v>0.90626169999999995</v>
      </c>
      <c r="F19" s="1">
        <v>1.92208E-2</v>
      </c>
      <c r="G19" s="1">
        <v>0.8949838</v>
      </c>
      <c r="H19" s="1">
        <v>0.98289800000000005</v>
      </c>
      <c r="I19" s="1">
        <v>0.89425089999999996</v>
      </c>
      <c r="J19" s="1">
        <v>0.89500120000000005</v>
      </c>
      <c r="K19" s="1">
        <v>0.93013619999999997</v>
      </c>
      <c r="L19" s="1">
        <v>0.90659239999999996</v>
      </c>
      <c r="M19" s="1">
        <v>1.9085899999999999E-2</v>
      </c>
      <c r="N19" s="1">
        <v>0.89548899999999998</v>
      </c>
      <c r="O19" s="1">
        <v>1.0237217000000001</v>
      </c>
      <c r="P19" s="1">
        <v>0.94583130000000004</v>
      </c>
      <c r="Q19" s="1">
        <v>0.89497260000000001</v>
      </c>
      <c r="R19" s="1">
        <v>0.90586880000000003</v>
      </c>
      <c r="S19" s="1">
        <v>0.89599700000000004</v>
      </c>
      <c r="T19" s="1">
        <v>0</v>
      </c>
      <c r="U19" s="1">
        <v>0.89384269999999999</v>
      </c>
      <c r="V19" s="1">
        <v>0.89310670000000003</v>
      </c>
      <c r="W19" s="1">
        <v>0.93171499999999996</v>
      </c>
      <c r="X19" s="1">
        <v>0.89374569999999998</v>
      </c>
      <c r="Y19" s="1">
        <v>0.89421490000000003</v>
      </c>
      <c r="Z19" s="1">
        <v>0.89414669999999996</v>
      </c>
    </row>
    <row r="20" spans="2:26" x14ac:dyDescent="0.25">
      <c r="B20" s="2" t="s">
        <v>97</v>
      </c>
      <c r="C20" s="1">
        <v>0.89737080000000002</v>
      </c>
      <c r="D20" s="1">
        <v>0.89573100000000005</v>
      </c>
      <c r="E20" s="1">
        <v>0.90770510000000004</v>
      </c>
      <c r="F20" s="1">
        <v>0.8961363</v>
      </c>
      <c r="G20" s="1">
        <v>1.8520600000000002E-2</v>
      </c>
      <c r="H20" s="1">
        <v>0.99890760000000001</v>
      </c>
      <c r="I20" s="1">
        <v>0.89464120000000003</v>
      </c>
      <c r="J20" s="1">
        <v>0.89436479999999996</v>
      </c>
      <c r="K20" s="1">
        <v>0.91872670000000001</v>
      </c>
      <c r="L20" s="1">
        <v>0.90505650000000004</v>
      </c>
      <c r="M20" s="1">
        <v>0.89599850000000003</v>
      </c>
      <c r="N20" s="1">
        <v>1.9100700000000002E-2</v>
      </c>
      <c r="O20" s="1">
        <v>1.0337064</v>
      </c>
      <c r="P20" s="1">
        <v>0.97874159999999999</v>
      </c>
      <c r="Q20" s="1">
        <v>0.89422889999999999</v>
      </c>
      <c r="R20" s="1">
        <v>0.89556959999999997</v>
      </c>
      <c r="S20" s="1">
        <v>0.89574580000000004</v>
      </c>
      <c r="T20" s="1">
        <v>0.89552330000000002</v>
      </c>
      <c r="U20" s="1">
        <v>0</v>
      </c>
      <c r="V20" s="1">
        <v>0.89287609999999995</v>
      </c>
      <c r="W20" s="1">
        <v>0.94759389999999999</v>
      </c>
      <c r="X20" s="1">
        <v>0.89336899999999997</v>
      </c>
      <c r="Y20" s="1">
        <v>0.91087819999999997</v>
      </c>
      <c r="Z20" s="1">
        <v>0.93266729999999998</v>
      </c>
    </row>
    <row r="21" spans="2:26" x14ac:dyDescent="0.25">
      <c r="B21" s="2" t="s">
        <v>98</v>
      </c>
      <c r="C21" s="1">
        <v>0.9706283</v>
      </c>
      <c r="D21" s="1">
        <v>0.96832680000000004</v>
      </c>
      <c r="E21" s="1">
        <v>1.0202792000000001</v>
      </c>
      <c r="F21" s="1">
        <v>0.89348050000000001</v>
      </c>
      <c r="G21" s="1">
        <v>0.89181880000000002</v>
      </c>
      <c r="H21" s="1">
        <v>8.9909100000000006E-2</v>
      </c>
      <c r="I21" s="1">
        <v>0.89176230000000001</v>
      </c>
      <c r="J21" s="1">
        <v>0.89289240000000003</v>
      </c>
      <c r="K21" s="1">
        <v>0.90312099999999995</v>
      </c>
      <c r="L21" s="1">
        <v>0.89366440000000003</v>
      </c>
      <c r="M21" s="1">
        <v>0.89370059999999996</v>
      </c>
      <c r="N21" s="1">
        <v>0.89333130000000005</v>
      </c>
      <c r="O21" s="1">
        <v>8.6118E-2</v>
      </c>
      <c r="P21" s="1">
        <v>0.94851350000000001</v>
      </c>
      <c r="Q21" s="1">
        <v>0.89280269999999995</v>
      </c>
      <c r="R21" s="1">
        <v>0.89665340000000004</v>
      </c>
      <c r="S21" s="1">
        <v>0.90062279999999995</v>
      </c>
      <c r="T21" s="1">
        <v>0.89183040000000002</v>
      </c>
      <c r="U21" s="1">
        <v>0.89342449999999995</v>
      </c>
      <c r="V21" s="1">
        <v>0</v>
      </c>
      <c r="W21" s="1">
        <v>0.95974760000000003</v>
      </c>
      <c r="X21" s="1">
        <v>0.89194680000000004</v>
      </c>
      <c r="Y21" s="1">
        <v>0.91864089999999998</v>
      </c>
      <c r="Z21" s="1">
        <v>0.92186860000000004</v>
      </c>
    </row>
    <row r="22" spans="2:26" x14ac:dyDescent="0.25">
      <c r="B22" s="2" t="s">
        <v>99</v>
      </c>
      <c r="C22" s="1">
        <v>1.0439262</v>
      </c>
      <c r="D22" s="1">
        <v>1.1751676</v>
      </c>
      <c r="E22" s="1">
        <v>1.1363683</v>
      </c>
      <c r="F22" s="1">
        <v>1.0763005999999999</v>
      </c>
      <c r="G22" s="1">
        <v>1.0155221999999999</v>
      </c>
      <c r="H22" s="1">
        <v>1.0339138999999999</v>
      </c>
      <c r="I22" s="1">
        <v>8.0410499999999996E-2</v>
      </c>
      <c r="J22" s="1">
        <v>1.0153439</v>
      </c>
      <c r="K22" s="1">
        <v>1.0157377999999999</v>
      </c>
      <c r="L22" s="1">
        <v>1.0987532</v>
      </c>
      <c r="M22" s="1">
        <v>1.1534359000000001</v>
      </c>
      <c r="N22" s="1">
        <v>1.0887751999999999</v>
      </c>
      <c r="O22" s="1">
        <v>1.2090959999999999</v>
      </c>
      <c r="P22" s="1">
        <v>0.84063509999999997</v>
      </c>
      <c r="Q22" s="1">
        <v>1.0192564</v>
      </c>
      <c r="R22" s="1">
        <v>1.0202761</v>
      </c>
      <c r="S22" s="1">
        <v>1.0218616</v>
      </c>
      <c r="T22" s="1">
        <v>1.094908</v>
      </c>
      <c r="U22" s="1">
        <v>1.1053123</v>
      </c>
      <c r="V22" s="1">
        <v>0.99504590000000004</v>
      </c>
      <c r="W22" s="1">
        <v>0</v>
      </c>
      <c r="X22" s="1">
        <v>1.0223481999999999</v>
      </c>
      <c r="Y22" s="1">
        <v>1.1343386</v>
      </c>
      <c r="Z22" s="1">
        <v>1.2010696000000001</v>
      </c>
    </row>
    <row r="23" spans="2:26" x14ac:dyDescent="0.25">
      <c r="B23" s="2" t="s">
        <v>100</v>
      </c>
      <c r="C23" s="1">
        <v>1.95684E-2</v>
      </c>
      <c r="D23" s="1">
        <v>0.90528540000000002</v>
      </c>
      <c r="E23" s="1">
        <v>0.90401050000000005</v>
      </c>
      <c r="F23" s="1">
        <v>0.89330600000000004</v>
      </c>
      <c r="G23" s="1">
        <v>0.89403080000000001</v>
      </c>
      <c r="H23" s="1">
        <v>0.93937660000000001</v>
      </c>
      <c r="I23" s="1">
        <v>0.89371869999999998</v>
      </c>
      <c r="J23" s="1">
        <v>1.96502E-2</v>
      </c>
      <c r="K23" s="1">
        <v>0.90085510000000002</v>
      </c>
      <c r="L23" s="1">
        <v>0.89955160000000001</v>
      </c>
      <c r="M23" s="1">
        <v>0.89366029999999996</v>
      </c>
      <c r="N23" s="1">
        <v>0.89372799999999997</v>
      </c>
      <c r="O23" s="1">
        <v>0.99603339999999996</v>
      </c>
      <c r="P23" s="1">
        <v>0.98072720000000002</v>
      </c>
      <c r="Q23" s="1">
        <v>1.95088E-2</v>
      </c>
      <c r="R23" s="1">
        <v>0.89538189999999995</v>
      </c>
      <c r="S23" s="1">
        <v>0.90191169999999998</v>
      </c>
      <c r="T23" s="1">
        <v>0.89365150000000004</v>
      </c>
      <c r="U23" s="1">
        <v>0.89375420000000005</v>
      </c>
      <c r="V23" s="1">
        <v>0.89343289999999997</v>
      </c>
      <c r="W23" s="1">
        <v>0.94734759999999996</v>
      </c>
      <c r="X23" s="1">
        <v>0</v>
      </c>
      <c r="Y23" s="1">
        <v>0.89506839999999999</v>
      </c>
      <c r="Z23" s="1">
        <v>0.91510219999999998</v>
      </c>
    </row>
    <row r="24" spans="2:26" x14ac:dyDescent="0.25">
      <c r="B24" s="2" t="s">
        <v>101</v>
      </c>
      <c r="C24" s="1">
        <v>0.98698450000000004</v>
      </c>
      <c r="D24" s="1">
        <v>3.83024E-2</v>
      </c>
      <c r="E24" s="1">
        <v>0.98692009999999997</v>
      </c>
      <c r="F24" s="1">
        <v>0.98184919999999998</v>
      </c>
      <c r="G24" s="1">
        <v>0.96090129999999996</v>
      </c>
      <c r="H24" s="1">
        <v>1.0338917000000001</v>
      </c>
      <c r="I24" s="1">
        <v>0.95768880000000001</v>
      </c>
      <c r="J24" s="1">
        <v>0.90334820000000005</v>
      </c>
      <c r="K24" s="1">
        <v>2.9162899999999999E-2</v>
      </c>
      <c r="L24" s="1">
        <v>0.89562200000000003</v>
      </c>
      <c r="M24" s="1">
        <v>0.9146533</v>
      </c>
      <c r="N24" s="1">
        <v>0.91739990000000005</v>
      </c>
      <c r="O24" s="1">
        <v>1.0958962000000001</v>
      </c>
      <c r="P24" s="1">
        <v>1.0951917</v>
      </c>
      <c r="Q24" s="1">
        <v>0.90337940000000005</v>
      </c>
      <c r="R24" s="1">
        <v>2.0576000000000001E-2</v>
      </c>
      <c r="S24" s="1">
        <v>0.96465749999999995</v>
      </c>
      <c r="T24" s="1">
        <v>0.92604370000000003</v>
      </c>
      <c r="U24" s="1">
        <v>0.90012289999999995</v>
      </c>
      <c r="V24" s="1">
        <v>0.95340820000000004</v>
      </c>
      <c r="W24" s="1">
        <v>1.0201568999999999</v>
      </c>
      <c r="X24" s="1">
        <v>0.89950750000000002</v>
      </c>
      <c r="Y24" s="1">
        <v>0</v>
      </c>
      <c r="Z24" s="1">
        <v>0.99384399999999995</v>
      </c>
    </row>
    <row r="25" spans="2:26" x14ac:dyDescent="0.25">
      <c r="B25" s="2" t="s">
        <v>102</v>
      </c>
      <c r="C25" s="1">
        <v>0.89365269999999997</v>
      </c>
      <c r="D25" s="1">
        <v>0.89340640000000004</v>
      </c>
      <c r="E25" s="1">
        <v>1.9128800000000001E-2</v>
      </c>
      <c r="F25" s="1">
        <v>0.94656280000000004</v>
      </c>
      <c r="G25" s="1">
        <v>0.93082089999999995</v>
      </c>
      <c r="H25" s="1">
        <v>1.0250454</v>
      </c>
      <c r="I25" s="1">
        <v>0.90503619999999996</v>
      </c>
      <c r="J25" s="1">
        <v>0.91003389999999995</v>
      </c>
      <c r="K25" s="1">
        <v>0.89788219999999996</v>
      </c>
      <c r="L25" s="1">
        <v>1.9002399999999999E-2</v>
      </c>
      <c r="M25" s="1">
        <v>0.95300050000000003</v>
      </c>
      <c r="N25" s="1">
        <v>0.95508459999999995</v>
      </c>
      <c r="O25" s="1">
        <v>0.9617367</v>
      </c>
      <c r="P25" s="1">
        <v>0.95063779999999998</v>
      </c>
      <c r="Q25" s="1">
        <v>0.9167035</v>
      </c>
      <c r="R25" s="1">
        <v>0.98115750000000002</v>
      </c>
      <c r="S25" s="1">
        <v>2.8718500000000001E-2</v>
      </c>
      <c r="T25" s="1">
        <v>0.93403939999999996</v>
      </c>
      <c r="U25" s="1">
        <v>0.92846680000000004</v>
      </c>
      <c r="V25" s="1">
        <v>0.97169970000000006</v>
      </c>
      <c r="W25" s="1">
        <v>1.0340874</v>
      </c>
      <c r="X25" s="1">
        <v>0.96515320000000004</v>
      </c>
      <c r="Y25" s="1">
        <v>1.0063755999999999</v>
      </c>
      <c r="Z25" s="1">
        <v>0</v>
      </c>
    </row>
    <row r="29" spans="2:26" x14ac:dyDescent="0.25">
      <c r="B29" s="6" t="s">
        <v>118</v>
      </c>
      <c r="C29" s="6"/>
    </row>
    <row r="30" spans="2:26" x14ac:dyDescent="0.25">
      <c r="B30" s="6"/>
      <c r="C30" s="6"/>
    </row>
    <row r="31" spans="2:26" x14ac:dyDescent="0.25">
      <c r="B31" s="2" t="s">
        <v>79</v>
      </c>
      <c r="C31" s="1">
        <v>0</v>
      </c>
      <c r="D31" s="1">
        <v>0.89222029999999997</v>
      </c>
      <c r="E31" s="1">
        <v>0.89269949999999998</v>
      </c>
      <c r="F31" s="1">
        <v>0.89248700000000003</v>
      </c>
      <c r="G31" s="1">
        <v>0.89279649999999999</v>
      </c>
      <c r="H31" s="1">
        <v>0.89194609999999996</v>
      </c>
      <c r="I31" s="1">
        <v>0.89260079999999997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2:26" x14ac:dyDescent="0.25">
      <c r="B32" s="2" t="s">
        <v>80</v>
      </c>
      <c r="C32" s="1">
        <v>0.89357299999999995</v>
      </c>
      <c r="D32" s="1">
        <v>0</v>
      </c>
      <c r="E32" s="1">
        <v>0.89435549999999997</v>
      </c>
      <c r="F32" s="1">
        <v>0.89462450000000004</v>
      </c>
      <c r="G32" s="1">
        <v>0.89424630000000005</v>
      </c>
      <c r="H32" s="1">
        <v>0.89328149999999995</v>
      </c>
      <c r="I32" s="1">
        <v>0.89349129999999999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8" x14ac:dyDescent="0.25">
      <c r="B33" s="2" t="s">
        <v>81</v>
      </c>
      <c r="C33" s="1">
        <v>0.89547319999999997</v>
      </c>
      <c r="D33" s="1">
        <v>0.89410020000000001</v>
      </c>
      <c r="E33" s="1">
        <v>0</v>
      </c>
      <c r="F33" s="1">
        <v>0.89425060000000001</v>
      </c>
      <c r="G33" s="1">
        <v>0.89498</v>
      </c>
      <c r="H33" s="1">
        <v>0.89304209999999995</v>
      </c>
      <c r="I33" s="1">
        <v>0.89365479999999997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8" x14ac:dyDescent="0.25">
      <c r="B34" s="2" t="s">
        <v>82</v>
      </c>
      <c r="C34" s="1">
        <v>0.89386339999999997</v>
      </c>
      <c r="D34" s="1">
        <v>0.89436599999999999</v>
      </c>
      <c r="E34" s="1">
        <v>0.89446970000000003</v>
      </c>
      <c r="F34" s="1">
        <v>0</v>
      </c>
      <c r="G34" s="1">
        <v>0.89422420000000002</v>
      </c>
      <c r="H34" s="1">
        <v>0.89336780000000005</v>
      </c>
      <c r="I34" s="1">
        <v>0.89325790000000005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8" x14ac:dyDescent="0.25">
      <c r="B35" s="2" t="s">
        <v>83</v>
      </c>
      <c r="C35" s="1">
        <v>0.89350099999999999</v>
      </c>
      <c r="D35" s="1">
        <v>0.89498520000000004</v>
      </c>
      <c r="E35" s="1">
        <v>0.89599439999999997</v>
      </c>
      <c r="F35" s="1">
        <v>0.89479350000000002</v>
      </c>
      <c r="G35" s="1">
        <v>0</v>
      </c>
      <c r="H35" s="1">
        <v>0.89317820000000003</v>
      </c>
      <c r="I35" s="1">
        <v>0.8934879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8" x14ac:dyDescent="0.25">
      <c r="B36" s="2" t="s">
        <v>84</v>
      </c>
      <c r="C36" s="1">
        <v>0.89425129999999997</v>
      </c>
      <c r="D36" s="1">
        <v>0.89205959999999995</v>
      </c>
      <c r="E36" s="1">
        <v>0.89246610000000004</v>
      </c>
      <c r="F36" s="1">
        <v>0.89251020000000003</v>
      </c>
      <c r="G36" s="1">
        <v>0.89225239999999995</v>
      </c>
      <c r="H36" s="1">
        <v>0</v>
      </c>
      <c r="I36" s="1">
        <v>0.89408799999999999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8" x14ac:dyDescent="0.25">
      <c r="B37" s="2" t="s">
        <v>85</v>
      </c>
      <c r="C37" s="1">
        <v>0.90135169999999998</v>
      </c>
      <c r="D37" s="1">
        <v>0.89222069999999998</v>
      </c>
      <c r="E37" s="1">
        <v>0.89245129999999995</v>
      </c>
      <c r="F37" s="1">
        <v>0.89240459999999999</v>
      </c>
      <c r="G37" s="1">
        <v>0.89537069999999996</v>
      </c>
      <c r="H37" s="1">
        <v>0.89287499999999997</v>
      </c>
      <c r="I37" s="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40" spans="1:28" x14ac:dyDescent="0.25">
      <c r="C40" s="9" t="s">
        <v>103</v>
      </c>
      <c r="D40" s="9" t="s">
        <v>103</v>
      </c>
      <c r="E40" s="9" t="s">
        <v>103</v>
      </c>
      <c r="F40" s="9" t="s">
        <v>103</v>
      </c>
      <c r="G40" s="9" t="s">
        <v>104</v>
      </c>
      <c r="H40" s="9" t="s">
        <v>104</v>
      </c>
      <c r="I40" s="9" t="s">
        <v>104</v>
      </c>
      <c r="J40" s="9" t="s">
        <v>104</v>
      </c>
      <c r="K40" s="9" t="s">
        <v>105</v>
      </c>
      <c r="L40" s="9" t="s">
        <v>105</v>
      </c>
      <c r="M40" s="9" t="s">
        <v>105</v>
      </c>
      <c r="N40" s="9" t="s">
        <v>105</v>
      </c>
      <c r="O40" s="9" t="s">
        <v>106</v>
      </c>
      <c r="P40" s="9" t="s">
        <v>106</v>
      </c>
      <c r="Q40" s="9" t="s">
        <v>106</v>
      </c>
      <c r="R40" s="9" t="s">
        <v>106</v>
      </c>
      <c r="S40" s="9" t="s">
        <v>107</v>
      </c>
      <c r="T40" s="9" t="s">
        <v>107</v>
      </c>
      <c r="U40" s="9" t="s">
        <v>107</v>
      </c>
      <c r="V40" s="9" t="s">
        <v>107</v>
      </c>
      <c r="W40" s="9" t="s">
        <v>108</v>
      </c>
      <c r="X40" s="9" t="s">
        <v>108</v>
      </c>
      <c r="Y40" s="9" t="s">
        <v>109</v>
      </c>
      <c r="Z40" s="9" t="s">
        <v>109</v>
      </c>
      <c r="AA40" s="9" t="s">
        <v>122</v>
      </c>
      <c r="AB40" s="9" t="s">
        <v>123</v>
      </c>
    </row>
    <row r="41" spans="1:28" x14ac:dyDescent="0.25">
      <c r="C41" s="9" t="s">
        <v>120</v>
      </c>
      <c r="D41" s="3" t="s">
        <v>79</v>
      </c>
      <c r="E41" s="3" t="s">
        <v>80</v>
      </c>
      <c r="F41" s="3" t="s">
        <v>81</v>
      </c>
      <c r="G41" s="3" t="s">
        <v>82</v>
      </c>
      <c r="H41" s="3" t="s">
        <v>83</v>
      </c>
      <c r="I41" s="3" t="s">
        <v>84</v>
      </c>
      <c r="J41" s="3" t="s">
        <v>85</v>
      </c>
      <c r="K41" s="3" t="s">
        <v>86</v>
      </c>
      <c r="L41" s="3" t="s">
        <v>87</v>
      </c>
      <c r="M41" s="3" t="s">
        <v>88</v>
      </c>
      <c r="N41" s="3" t="s">
        <v>89</v>
      </c>
      <c r="O41" s="3" t="s">
        <v>90</v>
      </c>
      <c r="P41" s="3" t="s">
        <v>91</v>
      </c>
      <c r="Q41" s="3" t="s">
        <v>92</v>
      </c>
      <c r="R41" s="3" t="s">
        <v>93</v>
      </c>
      <c r="S41" s="3" t="s">
        <v>94</v>
      </c>
      <c r="T41" s="3" t="s">
        <v>95</v>
      </c>
      <c r="U41" s="3" t="s">
        <v>96</v>
      </c>
      <c r="V41" s="3" t="s">
        <v>97</v>
      </c>
      <c r="W41" s="3" t="s">
        <v>98</v>
      </c>
      <c r="X41" s="3" t="s">
        <v>99</v>
      </c>
      <c r="Y41" s="3" t="s">
        <v>100</v>
      </c>
      <c r="Z41" s="3" t="s">
        <v>101</v>
      </c>
      <c r="AA41" s="3" t="s">
        <v>102</v>
      </c>
      <c r="AB41" s="3" t="s">
        <v>121</v>
      </c>
    </row>
    <row r="42" spans="1:28" x14ac:dyDescent="0.25">
      <c r="A42" s="8" t="s">
        <v>103</v>
      </c>
      <c r="B42" s="8" t="s">
        <v>120</v>
      </c>
      <c r="C42" s="1">
        <v>0</v>
      </c>
      <c r="D42" s="1">
        <v>2.3478700000000002E-2</v>
      </c>
      <c r="E42" s="1">
        <v>1.7786300000000001E-2</v>
      </c>
      <c r="F42" s="1">
        <v>1.8295499999999999E-2</v>
      </c>
      <c r="G42" s="1">
        <v>0.89797590000000005</v>
      </c>
      <c r="H42" s="1">
        <v>0.89473080000000005</v>
      </c>
      <c r="I42" s="1">
        <v>0.9019935</v>
      </c>
      <c r="J42" s="1">
        <v>0.90186929999999998</v>
      </c>
      <c r="K42" s="1">
        <v>0.8978505</v>
      </c>
      <c r="L42" s="1">
        <v>0.89302610000000004</v>
      </c>
      <c r="M42" s="1">
        <v>0.89360379999999995</v>
      </c>
      <c r="N42" s="1">
        <v>0.90545439999999999</v>
      </c>
      <c r="O42" s="1">
        <v>0.89786080000000001</v>
      </c>
      <c r="P42" s="1">
        <v>0.89252279999999995</v>
      </c>
      <c r="Q42" s="1">
        <v>0.8925824</v>
      </c>
      <c r="R42" s="1">
        <v>0.89948680000000003</v>
      </c>
      <c r="S42" s="1">
        <v>0.89248159999999999</v>
      </c>
      <c r="T42" s="1">
        <v>0.89239029999999997</v>
      </c>
      <c r="U42" s="1">
        <v>0.91022800000000004</v>
      </c>
      <c r="V42" s="1">
        <v>0.90094879999999999</v>
      </c>
      <c r="W42" s="1">
        <v>0.8923624</v>
      </c>
      <c r="X42" s="1">
        <v>1.0021218999999999</v>
      </c>
      <c r="Y42" s="1">
        <v>0.89260629999999996</v>
      </c>
      <c r="Z42" s="1">
        <v>1.0609987000000001</v>
      </c>
      <c r="AA42" s="1">
        <v>2.0410721000000001</v>
      </c>
      <c r="AB42" s="1">
        <v>1.6863980000000001</v>
      </c>
    </row>
    <row r="43" spans="1:28" x14ac:dyDescent="0.25">
      <c r="A43" s="8" t="s">
        <v>103</v>
      </c>
      <c r="B43" s="8" t="s">
        <v>79</v>
      </c>
      <c r="C43" s="1">
        <v>1.97465E-2</v>
      </c>
      <c r="D43" s="1">
        <v>0</v>
      </c>
      <c r="E43" s="1">
        <v>1.9046500000000001E-2</v>
      </c>
      <c r="F43" s="1">
        <v>1.8039900000000001E-2</v>
      </c>
      <c r="G43" s="1">
        <v>0.8980167</v>
      </c>
      <c r="H43" s="1">
        <v>0.89223960000000002</v>
      </c>
      <c r="I43" s="1">
        <v>0.90066550000000001</v>
      </c>
      <c r="J43" s="1">
        <v>0.89573239999999998</v>
      </c>
      <c r="K43" s="1">
        <v>0.89838390000000001</v>
      </c>
      <c r="L43" s="1">
        <v>0.89263559999999997</v>
      </c>
      <c r="M43" s="1">
        <v>0.90261130000000001</v>
      </c>
      <c r="N43" s="1">
        <v>0.9004993</v>
      </c>
      <c r="O43" s="1">
        <v>0.90021110000000004</v>
      </c>
      <c r="P43" s="1">
        <v>0.89275000000000004</v>
      </c>
      <c r="Q43" s="1">
        <v>0.89793540000000005</v>
      </c>
      <c r="R43" s="1">
        <v>0.90239449999999999</v>
      </c>
      <c r="S43" s="1">
        <v>0.89232469999999997</v>
      </c>
      <c r="T43" s="1">
        <v>0.89236210000000005</v>
      </c>
      <c r="U43" s="1">
        <v>0.90073610000000004</v>
      </c>
      <c r="V43" s="1">
        <v>0.89383170000000001</v>
      </c>
      <c r="W43" s="1">
        <v>0.89211799999999997</v>
      </c>
      <c r="X43" s="1">
        <v>0.96484449999999999</v>
      </c>
      <c r="Y43" s="1">
        <v>0.89297720000000003</v>
      </c>
      <c r="Z43" s="1">
        <v>0.96514960000000005</v>
      </c>
      <c r="AA43" s="1">
        <v>2.0947509000000002</v>
      </c>
      <c r="AB43" s="1">
        <v>1.6728305999999999</v>
      </c>
    </row>
    <row r="44" spans="1:28" x14ac:dyDescent="0.25">
      <c r="A44" s="8" t="s">
        <v>103</v>
      </c>
      <c r="B44" s="8" t="s">
        <v>80</v>
      </c>
      <c r="C44" s="1">
        <v>1.9141200000000001E-2</v>
      </c>
      <c r="D44" s="1">
        <v>1.8549900000000001E-2</v>
      </c>
      <c r="E44" s="1">
        <v>0</v>
      </c>
      <c r="F44" s="1">
        <v>1.8388700000000001E-2</v>
      </c>
      <c r="G44" s="1">
        <v>0.89236760000000004</v>
      </c>
      <c r="H44" s="1">
        <v>0.89387989999999995</v>
      </c>
      <c r="I44" s="1">
        <v>0.89236879999999996</v>
      </c>
      <c r="J44" s="1">
        <v>0.89235089999999995</v>
      </c>
      <c r="K44" s="1">
        <v>0.89420580000000005</v>
      </c>
      <c r="L44" s="1">
        <v>0.8924763</v>
      </c>
      <c r="M44" s="1">
        <v>0.90774109999999997</v>
      </c>
      <c r="N44" s="1">
        <v>0.8925128</v>
      </c>
      <c r="O44" s="1">
        <v>0.90299839999999998</v>
      </c>
      <c r="P44" s="1">
        <v>0.89561650000000004</v>
      </c>
      <c r="Q44" s="1">
        <v>0.89222860000000004</v>
      </c>
      <c r="R44" s="1">
        <v>0.89797229999999995</v>
      </c>
      <c r="S44" s="1">
        <v>0.89235779999999998</v>
      </c>
      <c r="T44" s="1">
        <v>0.89236309999999996</v>
      </c>
      <c r="U44" s="1">
        <v>0.91187189999999996</v>
      </c>
      <c r="V44" s="1">
        <v>0.89850850000000004</v>
      </c>
      <c r="W44" s="1">
        <v>0.89187240000000001</v>
      </c>
      <c r="X44" s="1">
        <v>0.95826860000000003</v>
      </c>
      <c r="Y44" s="1">
        <v>0.89310100000000003</v>
      </c>
      <c r="Z44" s="1">
        <v>0.95810530000000005</v>
      </c>
      <c r="AA44" s="1">
        <v>2.0289788</v>
      </c>
      <c r="AB44" s="1">
        <v>1.6978428000000001</v>
      </c>
    </row>
    <row r="45" spans="1:28" x14ac:dyDescent="0.25">
      <c r="A45" s="8" t="s">
        <v>103</v>
      </c>
      <c r="B45" s="8" t="s">
        <v>81</v>
      </c>
      <c r="C45" s="1">
        <v>1.92196E-2</v>
      </c>
      <c r="D45" s="1">
        <v>1.9795199999999999E-2</v>
      </c>
      <c r="E45" s="1">
        <v>1.87101E-2</v>
      </c>
      <c r="F45" s="1">
        <v>0</v>
      </c>
      <c r="G45" s="1">
        <v>0.89883299999999999</v>
      </c>
      <c r="H45" s="1">
        <v>0.89337659999999997</v>
      </c>
      <c r="I45" s="1">
        <v>0.89223649999999999</v>
      </c>
      <c r="J45" s="1">
        <v>0.90701149999999997</v>
      </c>
      <c r="K45" s="1">
        <v>0.89262390000000003</v>
      </c>
      <c r="L45" s="1">
        <v>0.90124249999999995</v>
      </c>
      <c r="M45" s="1">
        <v>0.90224550000000003</v>
      </c>
      <c r="N45" s="1">
        <v>0.89277390000000001</v>
      </c>
      <c r="O45" s="1">
        <v>0.92945339999999999</v>
      </c>
      <c r="P45" s="1">
        <v>0.89223889999999995</v>
      </c>
      <c r="Q45" s="1">
        <v>0.89224510000000001</v>
      </c>
      <c r="R45" s="1">
        <v>0.89228249999999998</v>
      </c>
      <c r="S45" s="1">
        <v>0.89247489999999996</v>
      </c>
      <c r="T45" s="1">
        <v>0.89237379999999999</v>
      </c>
      <c r="U45" s="1">
        <v>0.89449310000000004</v>
      </c>
      <c r="V45" s="1">
        <v>0.90247630000000001</v>
      </c>
      <c r="W45" s="1">
        <v>0.89207009999999998</v>
      </c>
      <c r="X45" s="1">
        <v>0.95439649999999998</v>
      </c>
      <c r="Y45" s="1">
        <v>0.89333079999999998</v>
      </c>
      <c r="Z45" s="1">
        <v>0.96301769999999998</v>
      </c>
      <c r="AA45" s="1">
        <v>2.0435865</v>
      </c>
      <c r="AB45" s="1">
        <v>1.6810935</v>
      </c>
    </row>
    <row r="46" spans="1:28" x14ac:dyDescent="0.25">
      <c r="A46" s="8" t="s">
        <v>104</v>
      </c>
      <c r="B46" s="8" t="s">
        <v>82</v>
      </c>
      <c r="C46" s="1">
        <v>0.90369149999999998</v>
      </c>
      <c r="D46" s="1">
        <v>0.9815161</v>
      </c>
      <c r="E46" s="1">
        <v>0.97756670000000001</v>
      </c>
      <c r="F46" s="1">
        <v>0.91279960000000004</v>
      </c>
      <c r="G46" s="1">
        <v>0</v>
      </c>
      <c r="H46" s="1">
        <v>1.8010600000000002E-2</v>
      </c>
      <c r="I46" s="1">
        <v>3.7937600000000002E-2</v>
      </c>
      <c r="J46" s="1">
        <v>3.2777300000000002E-2</v>
      </c>
      <c r="K46" s="1">
        <v>0.90988449999999998</v>
      </c>
      <c r="L46" s="1">
        <v>0.997915</v>
      </c>
      <c r="M46" s="1">
        <v>0.93832800000000005</v>
      </c>
      <c r="N46" s="1">
        <v>1.0135162</v>
      </c>
      <c r="O46" s="1">
        <v>0.98237229999999998</v>
      </c>
      <c r="P46" s="1">
        <v>0.91187739999999995</v>
      </c>
      <c r="Q46" s="1">
        <v>0.92166300000000001</v>
      </c>
      <c r="R46" s="1">
        <v>0.90180130000000003</v>
      </c>
      <c r="S46" s="1">
        <v>0.94006369999999995</v>
      </c>
      <c r="T46" s="1">
        <v>0.91061740000000002</v>
      </c>
      <c r="U46" s="1">
        <v>0.94390320000000005</v>
      </c>
      <c r="V46" s="1">
        <v>0.98996019999999996</v>
      </c>
      <c r="W46" s="1">
        <v>0.9352779</v>
      </c>
      <c r="X46" s="1">
        <v>0.94702889999999995</v>
      </c>
      <c r="Y46" s="1">
        <v>0.89301799999999998</v>
      </c>
      <c r="Z46" s="1">
        <v>1.084409</v>
      </c>
      <c r="AA46" s="1">
        <v>1.8589091</v>
      </c>
      <c r="AB46" s="1">
        <v>1.5049629</v>
      </c>
    </row>
    <row r="47" spans="1:28" x14ac:dyDescent="0.25">
      <c r="A47" s="8" t="s">
        <v>104</v>
      </c>
      <c r="B47" s="8" t="s">
        <v>83</v>
      </c>
      <c r="C47" s="1">
        <v>0.90101359999999997</v>
      </c>
      <c r="D47" s="1">
        <v>0.92428160000000004</v>
      </c>
      <c r="E47" s="1">
        <v>0.9892995</v>
      </c>
      <c r="F47" s="1">
        <v>0.95220280000000002</v>
      </c>
      <c r="G47" s="1">
        <v>1.9051999999999999E-2</v>
      </c>
      <c r="H47" s="1">
        <v>0</v>
      </c>
      <c r="I47" s="1">
        <v>3.79672E-2</v>
      </c>
      <c r="J47" s="1">
        <v>3.2929399999999998E-2</v>
      </c>
      <c r="K47" s="1">
        <v>0.99578979999999995</v>
      </c>
      <c r="L47" s="1">
        <v>0.99007959999999995</v>
      </c>
      <c r="M47" s="1">
        <v>0.98801830000000002</v>
      </c>
      <c r="N47" s="1">
        <v>0.93345549999999999</v>
      </c>
      <c r="O47" s="1">
        <v>0.95755509999999999</v>
      </c>
      <c r="P47" s="1">
        <v>0.96563120000000002</v>
      </c>
      <c r="Q47" s="1">
        <v>1.0315022</v>
      </c>
      <c r="R47" s="1">
        <v>0.90242389999999995</v>
      </c>
      <c r="S47" s="1">
        <v>0.91018580000000004</v>
      </c>
      <c r="T47" s="1">
        <v>0.9111667</v>
      </c>
      <c r="U47" s="1">
        <v>1.0001447000000001</v>
      </c>
      <c r="V47" s="1">
        <v>0.98009610000000003</v>
      </c>
      <c r="W47" s="1">
        <v>0.9136126</v>
      </c>
      <c r="X47" s="1">
        <v>1.0055506000000001</v>
      </c>
      <c r="Y47" s="1">
        <v>0.9597137</v>
      </c>
      <c r="Z47" s="1">
        <v>1.0430458</v>
      </c>
      <c r="AA47" s="1">
        <v>1.7761703</v>
      </c>
      <c r="AB47" s="1">
        <v>1.5092912000000001</v>
      </c>
    </row>
    <row r="48" spans="1:28" x14ac:dyDescent="0.25">
      <c r="A48" s="8" t="s">
        <v>104</v>
      </c>
      <c r="B48" s="8" t="s">
        <v>84</v>
      </c>
      <c r="C48" s="1">
        <v>0.96265199999999995</v>
      </c>
      <c r="D48" s="1">
        <v>0.90918730000000003</v>
      </c>
      <c r="E48" s="1">
        <v>0.9035957</v>
      </c>
      <c r="F48" s="1">
        <v>0.90187070000000003</v>
      </c>
      <c r="G48" s="1">
        <v>3.9105899999999999E-2</v>
      </c>
      <c r="H48" s="1">
        <v>2.7949999999999999E-2</v>
      </c>
      <c r="I48" s="1">
        <v>0</v>
      </c>
      <c r="J48" s="1">
        <v>3.7442900000000001E-2</v>
      </c>
      <c r="K48" s="1">
        <v>0.89386580000000004</v>
      </c>
      <c r="L48" s="1">
        <v>0.96651359999999997</v>
      </c>
      <c r="M48" s="1">
        <v>0.91450480000000001</v>
      </c>
      <c r="N48" s="1">
        <v>1.0220425</v>
      </c>
      <c r="O48" s="1">
        <v>0.89439299999999999</v>
      </c>
      <c r="P48" s="1">
        <v>0.95256229999999997</v>
      </c>
      <c r="Q48" s="1">
        <v>0.95824620000000005</v>
      </c>
      <c r="R48" s="1">
        <v>0.99953479999999995</v>
      </c>
      <c r="S48" s="1">
        <v>0.94439169999999995</v>
      </c>
      <c r="T48" s="1">
        <v>0.92702560000000001</v>
      </c>
      <c r="U48" s="1">
        <v>0.90033669999999999</v>
      </c>
      <c r="V48" s="1">
        <v>0.91350889999999996</v>
      </c>
      <c r="W48" s="1">
        <v>0.9118657</v>
      </c>
      <c r="X48" s="1">
        <v>0.99152709999999999</v>
      </c>
      <c r="Y48" s="1">
        <v>0.89301160000000002</v>
      </c>
      <c r="Z48" s="1">
        <v>0.93859720000000002</v>
      </c>
      <c r="AA48" s="1">
        <v>1.9913497</v>
      </c>
      <c r="AB48" s="1">
        <v>1.5564751999999999</v>
      </c>
    </row>
    <row r="49" spans="1:28" x14ac:dyDescent="0.25">
      <c r="A49" s="8" t="s">
        <v>104</v>
      </c>
      <c r="B49" s="8" t="s">
        <v>85</v>
      </c>
      <c r="C49" s="1">
        <v>0.89428779999999997</v>
      </c>
      <c r="D49" s="1">
        <v>0.92453240000000003</v>
      </c>
      <c r="E49" s="1">
        <v>0.9320695</v>
      </c>
      <c r="F49" s="1">
        <v>0.93512300000000004</v>
      </c>
      <c r="G49" s="1">
        <v>2.8398300000000001E-2</v>
      </c>
      <c r="H49" s="1">
        <v>1.8435199999999999E-2</v>
      </c>
      <c r="I49" s="1">
        <v>6.2351499999999997E-2</v>
      </c>
      <c r="J49" s="1">
        <v>0</v>
      </c>
      <c r="K49" s="1">
        <v>0.96414920000000004</v>
      </c>
      <c r="L49" s="1">
        <v>0.91826819999999998</v>
      </c>
      <c r="M49" s="1">
        <v>0.94273689999999999</v>
      </c>
      <c r="N49" s="1">
        <v>0.8934164</v>
      </c>
      <c r="O49" s="1">
        <v>0.95866470000000004</v>
      </c>
      <c r="P49" s="1">
        <v>0.89966440000000003</v>
      </c>
      <c r="Q49" s="1">
        <v>0.90579410000000005</v>
      </c>
      <c r="R49" s="1">
        <v>0.94006089999999998</v>
      </c>
      <c r="S49" s="1">
        <v>0.99109460000000005</v>
      </c>
      <c r="T49" s="1">
        <v>0.93301959999999995</v>
      </c>
      <c r="U49" s="1">
        <v>0.96750239999999998</v>
      </c>
      <c r="V49" s="1">
        <v>0.90997980000000001</v>
      </c>
      <c r="W49" s="1">
        <v>0.89316649999999997</v>
      </c>
      <c r="X49" s="1">
        <v>1.0051043</v>
      </c>
      <c r="Y49" s="1">
        <v>0.92511840000000001</v>
      </c>
      <c r="Z49" s="1">
        <v>1.0292897000000001</v>
      </c>
      <c r="AA49" s="1">
        <v>1.7274432</v>
      </c>
      <c r="AB49" s="1">
        <v>1.4860002999999999</v>
      </c>
    </row>
    <row r="50" spans="1:28" x14ac:dyDescent="0.25">
      <c r="A50" s="8" t="s">
        <v>105</v>
      </c>
      <c r="B50" s="8" t="s">
        <v>86</v>
      </c>
      <c r="C50" s="1">
        <v>0.92012570000000005</v>
      </c>
      <c r="D50" s="1">
        <v>0.93559720000000002</v>
      </c>
      <c r="E50" s="1">
        <v>0.89463930000000003</v>
      </c>
      <c r="F50" s="1">
        <v>0.89405040000000002</v>
      </c>
      <c r="G50" s="1">
        <v>0.9993746</v>
      </c>
      <c r="H50" s="1">
        <v>0.90180640000000001</v>
      </c>
      <c r="I50" s="1">
        <v>0.91888479999999995</v>
      </c>
      <c r="J50" s="1">
        <v>0.97566410000000003</v>
      </c>
      <c r="K50" s="1">
        <v>0</v>
      </c>
      <c r="L50" s="1">
        <v>1.8723500000000001E-2</v>
      </c>
      <c r="M50" s="1">
        <v>1.8286500000000001E-2</v>
      </c>
      <c r="N50" s="1">
        <v>2.0372600000000001E-2</v>
      </c>
      <c r="O50" s="1">
        <v>0.97931789999999996</v>
      </c>
      <c r="P50" s="1">
        <v>0.94694590000000001</v>
      </c>
      <c r="Q50" s="1">
        <v>0.96507019999999999</v>
      </c>
      <c r="R50" s="1">
        <v>0.91467830000000006</v>
      </c>
      <c r="S50" s="1">
        <v>0.94316149999999999</v>
      </c>
      <c r="T50" s="1">
        <v>0.89804079999999997</v>
      </c>
      <c r="U50" s="1">
        <v>0.92344159999999997</v>
      </c>
      <c r="V50" s="1">
        <v>0.97012160000000003</v>
      </c>
      <c r="W50" s="1">
        <v>0.96656489999999995</v>
      </c>
      <c r="X50" s="1">
        <v>0.96581030000000001</v>
      </c>
      <c r="Y50" s="1">
        <v>0.89392519999999998</v>
      </c>
      <c r="Z50" s="1">
        <v>0.9785452</v>
      </c>
      <c r="AA50" s="1">
        <v>1.8519895</v>
      </c>
      <c r="AB50" s="1">
        <v>1.5394175000000001</v>
      </c>
    </row>
    <row r="51" spans="1:28" x14ac:dyDescent="0.25">
      <c r="A51" s="8" t="s">
        <v>105</v>
      </c>
      <c r="B51" s="8" t="s">
        <v>87</v>
      </c>
      <c r="C51" s="1">
        <v>0.97907540000000004</v>
      </c>
      <c r="D51" s="1">
        <v>0.91126799999999997</v>
      </c>
      <c r="E51" s="1">
        <v>0.92881159999999996</v>
      </c>
      <c r="F51" s="1">
        <v>0.92676309999999995</v>
      </c>
      <c r="G51" s="1">
        <v>0.94502229999999998</v>
      </c>
      <c r="H51" s="1">
        <v>1.0094316000000001</v>
      </c>
      <c r="I51" s="1">
        <v>0.89527769999999995</v>
      </c>
      <c r="J51" s="1">
        <v>0.94941660000000005</v>
      </c>
      <c r="K51" s="1">
        <v>0.15546889999999999</v>
      </c>
      <c r="L51" s="1">
        <v>0</v>
      </c>
      <c r="M51" s="1">
        <v>2.8163899999999999E-2</v>
      </c>
      <c r="N51" s="1">
        <v>3.8317400000000001E-2</v>
      </c>
      <c r="O51" s="1">
        <v>0.94325539999999997</v>
      </c>
      <c r="P51" s="1">
        <v>0.89651320000000001</v>
      </c>
      <c r="Q51" s="1">
        <v>0.89402700000000002</v>
      </c>
      <c r="R51" s="1">
        <v>0.89437699999999998</v>
      </c>
      <c r="S51" s="1">
        <v>0.97226429999999997</v>
      </c>
      <c r="T51" s="1">
        <v>0.94387750000000004</v>
      </c>
      <c r="U51" s="1">
        <v>0.90376330000000005</v>
      </c>
      <c r="V51" s="1">
        <v>0.94499140000000004</v>
      </c>
      <c r="W51" s="1">
        <v>0.96541379999999999</v>
      </c>
      <c r="X51" s="1">
        <v>1.0137806</v>
      </c>
      <c r="Y51" s="1">
        <v>0.9445829</v>
      </c>
      <c r="Z51" s="1">
        <v>1.0550653999999999</v>
      </c>
      <c r="AA51" s="1">
        <v>1.9567561</v>
      </c>
      <c r="AB51" s="1">
        <v>1.5441545999999999</v>
      </c>
    </row>
    <row r="52" spans="1:28" x14ac:dyDescent="0.25">
      <c r="A52" s="8" t="s">
        <v>105</v>
      </c>
      <c r="B52" s="8" t="s">
        <v>88</v>
      </c>
      <c r="C52" s="1">
        <v>0.92349890000000001</v>
      </c>
      <c r="D52" s="1">
        <v>0.91964480000000004</v>
      </c>
      <c r="E52" s="1">
        <v>0.90726969999999996</v>
      </c>
      <c r="F52" s="1">
        <v>0.99442770000000003</v>
      </c>
      <c r="G52" s="1">
        <v>0.98763179999999995</v>
      </c>
      <c r="H52" s="1">
        <v>0.89537310000000003</v>
      </c>
      <c r="I52" s="1">
        <v>1.0112433000000001</v>
      </c>
      <c r="J52" s="1">
        <v>1.0177574</v>
      </c>
      <c r="K52" s="1">
        <v>0.23889679999999999</v>
      </c>
      <c r="L52" s="1">
        <v>3.8799500000000001E-2</v>
      </c>
      <c r="M52" s="1">
        <v>0</v>
      </c>
      <c r="N52" s="1">
        <v>1.81739E-2</v>
      </c>
      <c r="O52" s="1">
        <v>0.90527340000000001</v>
      </c>
      <c r="P52" s="1">
        <v>0.95500450000000003</v>
      </c>
      <c r="Q52" s="1">
        <v>0.96924849999999996</v>
      </c>
      <c r="R52" s="1">
        <v>0.90254760000000001</v>
      </c>
      <c r="S52" s="1">
        <v>0.90012360000000002</v>
      </c>
      <c r="T52" s="1">
        <v>0.94676780000000005</v>
      </c>
      <c r="U52" s="1">
        <v>0.9602482</v>
      </c>
      <c r="V52" s="1">
        <v>0.89550969999999996</v>
      </c>
      <c r="W52" s="1">
        <v>0.94138500000000003</v>
      </c>
      <c r="X52" s="1">
        <v>1.0267816000000001</v>
      </c>
      <c r="Y52" s="1">
        <v>0.89403080000000001</v>
      </c>
      <c r="Z52" s="1">
        <v>0.94556019999999996</v>
      </c>
      <c r="AA52" s="1">
        <v>1.7900628999999999</v>
      </c>
      <c r="AB52" s="1">
        <v>1.4649049999999999</v>
      </c>
    </row>
    <row r="53" spans="1:28" x14ac:dyDescent="0.25">
      <c r="A53" s="8" t="s">
        <v>105</v>
      </c>
      <c r="B53" s="8" t="s">
        <v>89</v>
      </c>
      <c r="C53" s="1">
        <v>0.89464949999999999</v>
      </c>
      <c r="D53" s="1">
        <v>0.89976529999999999</v>
      </c>
      <c r="E53" s="1">
        <v>0.91630219999999996</v>
      </c>
      <c r="F53" s="1">
        <v>0.90103820000000001</v>
      </c>
      <c r="G53" s="1">
        <v>0.93850180000000005</v>
      </c>
      <c r="H53" s="1">
        <v>0.90589330000000001</v>
      </c>
      <c r="I53" s="1">
        <v>0.90965799999999997</v>
      </c>
      <c r="J53" s="1">
        <v>0.89491200000000004</v>
      </c>
      <c r="K53" s="1">
        <v>4.9259900000000002E-2</v>
      </c>
      <c r="L53" s="1">
        <v>2.0698500000000002E-2</v>
      </c>
      <c r="M53" s="1">
        <v>2.0064599999999998E-2</v>
      </c>
      <c r="N53" s="1">
        <v>0</v>
      </c>
      <c r="O53" s="1">
        <v>1.00773</v>
      </c>
      <c r="P53" s="1">
        <v>0.92182109999999995</v>
      </c>
      <c r="Q53" s="1">
        <v>1.041858</v>
      </c>
      <c r="R53" s="1">
        <v>0.91787099999999999</v>
      </c>
      <c r="S53" s="1">
        <v>0.8937676</v>
      </c>
      <c r="T53" s="1">
        <v>1.054074</v>
      </c>
      <c r="U53" s="1">
        <v>1.0138581</v>
      </c>
      <c r="V53" s="1">
        <v>1.0382511999999999</v>
      </c>
      <c r="W53" s="1">
        <v>0.90999269999999999</v>
      </c>
      <c r="X53" s="1">
        <v>1.1176786000000001</v>
      </c>
      <c r="Y53" s="1">
        <v>0.9024413</v>
      </c>
      <c r="Z53" s="1">
        <v>1.0476209999999999</v>
      </c>
      <c r="AA53" s="1">
        <v>1.8130622000000001</v>
      </c>
      <c r="AB53" s="1">
        <v>1.5422522999999999</v>
      </c>
    </row>
    <row r="54" spans="1:28" x14ac:dyDescent="0.25">
      <c r="A54" s="8" t="s">
        <v>106</v>
      </c>
      <c r="B54" s="8" t="s">
        <v>90</v>
      </c>
      <c r="C54" s="1">
        <v>0.99417849999999997</v>
      </c>
      <c r="D54" s="1">
        <v>0.90543200000000001</v>
      </c>
      <c r="E54" s="1">
        <v>0.92082050000000004</v>
      </c>
      <c r="F54" s="1">
        <v>0.95456580000000002</v>
      </c>
      <c r="G54" s="1">
        <v>0.90509609999999996</v>
      </c>
      <c r="H54" s="1">
        <v>0.89388440000000002</v>
      </c>
      <c r="I54" s="1">
        <v>0.96365330000000005</v>
      </c>
      <c r="J54" s="1">
        <v>0.90367770000000003</v>
      </c>
      <c r="K54" s="1">
        <v>0.92115659999999999</v>
      </c>
      <c r="L54" s="1">
        <v>0.93280700000000005</v>
      </c>
      <c r="M54" s="1">
        <v>0.90604689999999999</v>
      </c>
      <c r="N54" s="1">
        <v>0.98631950000000002</v>
      </c>
      <c r="O54" s="1">
        <v>0</v>
      </c>
      <c r="P54" s="1">
        <v>2.81532E-2</v>
      </c>
      <c r="Q54" s="1">
        <v>3.74525E-2</v>
      </c>
      <c r="R54" s="1">
        <v>3.3666799999999997E-2</v>
      </c>
      <c r="S54" s="1">
        <v>0.94682670000000002</v>
      </c>
      <c r="T54" s="1">
        <v>0.98494429999999999</v>
      </c>
      <c r="U54" s="1">
        <v>0.94054320000000002</v>
      </c>
      <c r="V54" s="1">
        <v>0.99649169999999998</v>
      </c>
      <c r="W54" s="1">
        <v>1.0000279000000001</v>
      </c>
      <c r="X54" s="1">
        <v>1.0080534999999999</v>
      </c>
      <c r="Y54" s="1">
        <v>0.9374924</v>
      </c>
      <c r="Z54" s="1">
        <v>0.99043890000000001</v>
      </c>
      <c r="AA54" s="1">
        <v>1.8341703</v>
      </c>
      <c r="AB54" s="1">
        <v>1.4681058</v>
      </c>
    </row>
    <row r="55" spans="1:28" x14ac:dyDescent="0.25">
      <c r="A55" s="8" t="s">
        <v>106</v>
      </c>
      <c r="B55" s="8" t="s">
        <v>91</v>
      </c>
      <c r="C55" s="1">
        <v>0.90394070000000004</v>
      </c>
      <c r="D55" s="1">
        <v>0.97893330000000001</v>
      </c>
      <c r="E55" s="1">
        <v>0.92837069999999999</v>
      </c>
      <c r="F55" s="1">
        <v>0.98777060000000005</v>
      </c>
      <c r="G55" s="1">
        <v>0.91918230000000001</v>
      </c>
      <c r="H55" s="1">
        <v>0.95252250000000005</v>
      </c>
      <c r="I55" s="1">
        <v>0.99835560000000001</v>
      </c>
      <c r="J55" s="1">
        <v>0.91654539999999995</v>
      </c>
      <c r="K55" s="1">
        <v>1.0080616</v>
      </c>
      <c r="L55" s="1">
        <v>0.98671770000000003</v>
      </c>
      <c r="M55" s="1">
        <v>0.91189240000000005</v>
      </c>
      <c r="N55" s="1">
        <v>0.92881270000000005</v>
      </c>
      <c r="O55" s="1">
        <v>3.8756400000000003E-2</v>
      </c>
      <c r="P55" s="1">
        <v>0</v>
      </c>
      <c r="Q55" s="1">
        <v>2.0061300000000001E-2</v>
      </c>
      <c r="R55" s="1">
        <v>5.32346E-2</v>
      </c>
      <c r="S55" s="1">
        <v>0.90495060000000005</v>
      </c>
      <c r="T55" s="1">
        <v>0.97013519999999998</v>
      </c>
      <c r="U55" s="1">
        <v>0.90314649999999996</v>
      </c>
      <c r="V55" s="1">
        <v>0.9804754</v>
      </c>
      <c r="W55" s="1">
        <v>0.91340160000000004</v>
      </c>
      <c r="X55" s="1">
        <v>0.95972630000000003</v>
      </c>
      <c r="Y55" s="1">
        <v>0.91422199999999998</v>
      </c>
      <c r="Z55" s="1">
        <v>1.0177858</v>
      </c>
      <c r="AA55" s="1">
        <v>1.8757465</v>
      </c>
      <c r="AB55" s="1">
        <v>1.4625106000000001</v>
      </c>
    </row>
    <row r="56" spans="1:28" x14ac:dyDescent="0.25">
      <c r="A56" s="8" t="s">
        <v>106</v>
      </c>
      <c r="B56" s="8" t="s">
        <v>92</v>
      </c>
      <c r="C56" s="1">
        <v>0.92020539999999995</v>
      </c>
      <c r="D56" s="1">
        <v>1.0128427</v>
      </c>
      <c r="E56" s="1">
        <v>0.89900420000000003</v>
      </c>
      <c r="F56" s="1">
        <v>0.92508480000000004</v>
      </c>
      <c r="G56" s="1">
        <v>0.89514329999999998</v>
      </c>
      <c r="H56" s="1">
        <v>0.92738080000000001</v>
      </c>
      <c r="I56" s="1">
        <v>0.8966634</v>
      </c>
      <c r="J56" s="1">
        <v>1.0020039000000001</v>
      </c>
      <c r="K56" s="1">
        <v>0.9763887</v>
      </c>
      <c r="L56" s="1">
        <v>1.0548739</v>
      </c>
      <c r="M56" s="1">
        <v>1.0413520000000001</v>
      </c>
      <c r="N56" s="1">
        <v>0.95439050000000003</v>
      </c>
      <c r="O56" s="1">
        <v>1.93615E-2</v>
      </c>
      <c r="P56" s="1">
        <v>1.8915700000000001E-2</v>
      </c>
      <c r="Q56" s="1">
        <v>0</v>
      </c>
      <c r="R56" s="1">
        <v>0.1457686</v>
      </c>
      <c r="S56" s="1">
        <v>0.89353749999999998</v>
      </c>
      <c r="T56" s="1">
        <v>0.89367490000000005</v>
      </c>
      <c r="U56" s="1">
        <v>0.90492530000000004</v>
      </c>
      <c r="V56" s="1">
        <v>0.90239599999999998</v>
      </c>
      <c r="W56" s="1">
        <v>0.93141010000000002</v>
      </c>
      <c r="X56" s="1">
        <v>1.0451322000000001</v>
      </c>
      <c r="Y56" s="1">
        <v>0.94346399999999997</v>
      </c>
      <c r="Z56" s="1">
        <v>0.98586370000000001</v>
      </c>
      <c r="AA56" s="1">
        <v>1.7745359000000001</v>
      </c>
      <c r="AB56" s="1">
        <v>1.5076400999999999</v>
      </c>
    </row>
    <row r="57" spans="1:28" x14ac:dyDescent="0.25">
      <c r="A57" s="8" t="s">
        <v>106</v>
      </c>
      <c r="B57" s="8" t="s">
        <v>93</v>
      </c>
      <c r="C57" s="1">
        <v>0.9666188</v>
      </c>
      <c r="D57" s="1">
        <v>0.92001080000000002</v>
      </c>
      <c r="E57" s="1">
        <v>0.92625590000000002</v>
      </c>
      <c r="F57" s="1">
        <v>0.9525709</v>
      </c>
      <c r="G57" s="1">
        <v>0.8995187</v>
      </c>
      <c r="H57" s="1">
        <v>0.95933060000000003</v>
      </c>
      <c r="I57" s="1">
        <v>0.91850039999999999</v>
      </c>
      <c r="J57" s="1">
        <v>0.95016500000000004</v>
      </c>
      <c r="K57" s="1">
        <v>0.90312599999999998</v>
      </c>
      <c r="L57" s="1">
        <v>0.90661380000000003</v>
      </c>
      <c r="M57" s="1">
        <v>0.91098049999999997</v>
      </c>
      <c r="N57" s="1">
        <v>0.95479970000000003</v>
      </c>
      <c r="O57" s="1">
        <v>2.8412799999999998E-2</v>
      </c>
      <c r="P57" s="1">
        <v>2.79143E-2</v>
      </c>
      <c r="Q57" s="1">
        <v>2.8530799999999999E-2</v>
      </c>
      <c r="R57" s="1">
        <v>0</v>
      </c>
      <c r="S57" s="1">
        <v>0.90703889999999998</v>
      </c>
      <c r="T57" s="1">
        <v>0.91697119999999999</v>
      </c>
      <c r="U57" s="1">
        <v>0.96016880000000004</v>
      </c>
      <c r="V57" s="1">
        <v>1.0051011999999999</v>
      </c>
      <c r="W57" s="1">
        <v>0.93720559999999997</v>
      </c>
      <c r="X57" s="1">
        <v>0.95770739999999999</v>
      </c>
      <c r="Y57" s="1">
        <v>0.90614819999999996</v>
      </c>
      <c r="Z57" s="1">
        <v>1.0425138</v>
      </c>
      <c r="AA57" s="1">
        <v>1.8819140999999999</v>
      </c>
      <c r="AB57" s="1">
        <v>1.5204972999999999</v>
      </c>
    </row>
    <row r="58" spans="1:28" x14ac:dyDescent="0.25">
      <c r="A58" s="8" t="s">
        <v>107</v>
      </c>
      <c r="B58" s="8" t="s">
        <v>94</v>
      </c>
      <c r="C58" s="1">
        <v>0.89891169999999998</v>
      </c>
      <c r="D58" s="1">
        <v>0.99025149999999995</v>
      </c>
      <c r="E58" s="1">
        <v>0.96618530000000002</v>
      </c>
      <c r="F58" s="1">
        <v>0.8951578</v>
      </c>
      <c r="G58" s="1">
        <v>0.91238070000000004</v>
      </c>
      <c r="H58" s="1">
        <v>0.90136720000000004</v>
      </c>
      <c r="I58" s="1">
        <v>0.9199195</v>
      </c>
      <c r="J58" s="1">
        <v>0.97668049999999995</v>
      </c>
      <c r="K58" s="1">
        <v>0.90728430000000004</v>
      </c>
      <c r="L58" s="1">
        <v>0.97640749999999998</v>
      </c>
      <c r="M58" s="1">
        <v>0.92074370000000005</v>
      </c>
      <c r="N58" s="1">
        <v>0.92127630000000005</v>
      </c>
      <c r="O58" s="1">
        <v>0.92384840000000001</v>
      </c>
      <c r="P58" s="1">
        <v>0.95239810000000003</v>
      </c>
      <c r="Q58" s="1">
        <v>0.97400189999999998</v>
      </c>
      <c r="R58" s="1">
        <v>0.90167980000000003</v>
      </c>
      <c r="S58" s="1">
        <v>0</v>
      </c>
      <c r="T58" s="1">
        <v>2.76315E-2</v>
      </c>
      <c r="U58" s="1">
        <v>3.6268500000000002E-2</v>
      </c>
      <c r="V58" s="1">
        <v>3.57518E-2</v>
      </c>
      <c r="W58" s="1">
        <v>0.92248750000000002</v>
      </c>
      <c r="X58" s="1">
        <v>1.0075266</v>
      </c>
      <c r="Y58" s="1">
        <v>0.93822649999999996</v>
      </c>
      <c r="Z58" s="1">
        <v>0.98548530000000001</v>
      </c>
      <c r="AA58" s="1">
        <v>1.9595194</v>
      </c>
      <c r="AB58" s="1">
        <v>1.3986418</v>
      </c>
    </row>
    <row r="59" spans="1:28" x14ac:dyDescent="0.25">
      <c r="A59" s="8" t="s">
        <v>107</v>
      </c>
      <c r="B59" s="8" t="s">
        <v>95</v>
      </c>
      <c r="C59" s="1">
        <v>0.91936830000000003</v>
      </c>
      <c r="D59" s="1">
        <v>0.92025570000000001</v>
      </c>
      <c r="E59" s="1">
        <v>0.89466500000000004</v>
      </c>
      <c r="F59" s="1">
        <v>0.95733310000000005</v>
      </c>
      <c r="G59" s="1">
        <v>0.89909030000000001</v>
      </c>
      <c r="H59" s="1">
        <v>0.93238810000000005</v>
      </c>
      <c r="I59" s="1">
        <v>0.98962760000000005</v>
      </c>
      <c r="J59" s="1">
        <v>1.0097210000000001</v>
      </c>
      <c r="K59" s="1">
        <v>0.9461174</v>
      </c>
      <c r="L59" s="1">
        <v>0.95838639999999997</v>
      </c>
      <c r="M59" s="1">
        <v>0.91423889999999997</v>
      </c>
      <c r="N59" s="1">
        <v>0.9057596</v>
      </c>
      <c r="O59" s="1">
        <v>0.94575430000000005</v>
      </c>
      <c r="P59" s="1">
        <v>0.89679980000000004</v>
      </c>
      <c r="Q59" s="1">
        <v>0.89572070000000004</v>
      </c>
      <c r="R59" s="1">
        <v>0.99094800000000005</v>
      </c>
      <c r="S59" s="1">
        <v>3.8151499999999998E-2</v>
      </c>
      <c r="T59" s="1">
        <v>0</v>
      </c>
      <c r="U59" s="1">
        <v>3.7828899999999999E-2</v>
      </c>
      <c r="V59" s="1">
        <v>3.8297400000000002E-2</v>
      </c>
      <c r="W59" s="1">
        <v>0.93575410000000003</v>
      </c>
      <c r="X59" s="1">
        <v>1.0719042000000001</v>
      </c>
      <c r="Y59" s="1">
        <v>0.93691469999999999</v>
      </c>
      <c r="Z59" s="1">
        <v>1.1004001999999999</v>
      </c>
      <c r="AA59" s="1">
        <v>2.0131266000000001</v>
      </c>
      <c r="AB59" s="1">
        <v>1.4550122999999999</v>
      </c>
    </row>
    <row r="60" spans="1:28" x14ac:dyDescent="0.25">
      <c r="A60" s="8" t="s">
        <v>107</v>
      </c>
      <c r="B60" s="8" t="s">
        <v>96</v>
      </c>
      <c r="C60" s="1">
        <v>0.91216779999999997</v>
      </c>
      <c r="D60" s="1">
        <v>0.92598769999999997</v>
      </c>
      <c r="E60" s="1">
        <v>0.93173530000000004</v>
      </c>
      <c r="F60" s="1">
        <v>0.91313599999999995</v>
      </c>
      <c r="G60" s="1">
        <v>0.90913180000000005</v>
      </c>
      <c r="H60" s="1">
        <v>0.90399169999999995</v>
      </c>
      <c r="I60" s="1">
        <v>0.98951979999999995</v>
      </c>
      <c r="J60" s="1">
        <v>0.98125859999999998</v>
      </c>
      <c r="K60" s="1">
        <v>0.90836640000000002</v>
      </c>
      <c r="L60" s="1">
        <v>0.89764500000000003</v>
      </c>
      <c r="M60" s="1">
        <v>1.0120091</v>
      </c>
      <c r="N60" s="1">
        <v>0.92662100000000003</v>
      </c>
      <c r="O60" s="1">
        <v>0.90038850000000004</v>
      </c>
      <c r="P60" s="1">
        <v>1.0046489000000001</v>
      </c>
      <c r="Q60" s="1">
        <v>0.96307129999999996</v>
      </c>
      <c r="R60" s="1">
        <v>0.9135778</v>
      </c>
      <c r="S60" s="1">
        <v>4.2167400000000001E-2</v>
      </c>
      <c r="T60" s="1">
        <v>2.0353599999999999E-2</v>
      </c>
      <c r="U60" s="1">
        <v>0</v>
      </c>
      <c r="V60" s="1">
        <v>3.7473699999999999E-2</v>
      </c>
      <c r="W60" s="1">
        <v>0.98939820000000001</v>
      </c>
      <c r="X60" s="1">
        <v>1.1000633</v>
      </c>
      <c r="Y60" s="1">
        <v>0.94659040000000005</v>
      </c>
      <c r="Z60" s="1">
        <v>1.0366902</v>
      </c>
      <c r="AA60" s="1">
        <v>1.9056002999999999</v>
      </c>
      <c r="AB60" s="1">
        <v>1.4056301</v>
      </c>
    </row>
    <row r="61" spans="1:28" x14ac:dyDescent="0.25">
      <c r="A61" s="8" t="s">
        <v>107</v>
      </c>
      <c r="B61" s="8" t="s">
        <v>97</v>
      </c>
      <c r="C61" s="1">
        <v>0.96467709999999995</v>
      </c>
      <c r="D61" s="1">
        <v>0.89500639999999998</v>
      </c>
      <c r="E61" s="1">
        <v>0.96910019999999997</v>
      </c>
      <c r="F61" s="1">
        <v>0.91530469999999997</v>
      </c>
      <c r="G61" s="1">
        <v>0.97409250000000003</v>
      </c>
      <c r="H61" s="1">
        <v>0.94713970000000003</v>
      </c>
      <c r="I61" s="1">
        <v>0.91506909999999997</v>
      </c>
      <c r="J61" s="1">
        <v>0.91416620000000004</v>
      </c>
      <c r="K61" s="1">
        <v>0.92267750000000004</v>
      </c>
      <c r="L61" s="1">
        <v>1.0084891</v>
      </c>
      <c r="M61" s="1">
        <v>0.89848779999999995</v>
      </c>
      <c r="N61" s="1">
        <v>0.98734140000000004</v>
      </c>
      <c r="O61" s="1">
        <v>0.96962590000000004</v>
      </c>
      <c r="P61" s="1">
        <v>0.94267080000000003</v>
      </c>
      <c r="Q61" s="1">
        <v>0.95598629999999996</v>
      </c>
      <c r="R61" s="1">
        <v>0.9217436</v>
      </c>
      <c r="S61" s="1">
        <v>1.9378900000000001E-2</v>
      </c>
      <c r="T61" s="1">
        <v>2.8966700000000001E-2</v>
      </c>
      <c r="U61" s="1">
        <v>1.91758E-2</v>
      </c>
      <c r="V61" s="1">
        <v>0</v>
      </c>
      <c r="W61" s="1">
        <v>0.89288040000000002</v>
      </c>
      <c r="X61" s="1">
        <v>1.0052449999999999</v>
      </c>
      <c r="Y61" s="1">
        <v>0.98523970000000005</v>
      </c>
      <c r="Z61" s="1">
        <v>1.1026361</v>
      </c>
      <c r="AA61" s="1">
        <v>1.7964199000000001</v>
      </c>
      <c r="AB61" s="1">
        <v>1.4625096</v>
      </c>
    </row>
    <row r="62" spans="1:28" x14ac:dyDescent="0.25">
      <c r="A62" s="8" t="s">
        <v>108</v>
      </c>
      <c r="B62" s="8" t="s">
        <v>98</v>
      </c>
      <c r="C62" s="1">
        <v>0.89214660000000001</v>
      </c>
      <c r="D62" s="1">
        <v>0.89861919999999995</v>
      </c>
      <c r="E62" s="1">
        <v>0.89303489999999996</v>
      </c>
      <c r="F62" s="1">
        <v>0.90077589999999996</v>
      </c>
      <c r="G62" s="1">
        <v>0.90252019999999999</v>
      </c>
      <c r="H62" s="1">
        <v>0.89526030000000001</v>
      </c>
      <c r="I62" s="1">
        <v>0.92158079999999998</v>
      </c>
      <c r="J62" s="1">
        <v>0.8965938</v>
      </c>
      <c r="K62" s="1">
        <v>0.91470600000000002</v>
      </c>
      <c r="L62" s="1">
        <v>0.89444469999999998</v>
      </c>
      <c r="M62" s="1">
        <v>0.89450669999999999</v>
      </c>
      <c r="N62" s="1">
        <v>0.89887360000000005</v>
      </c>
      <c r="O62" s="1">
        <v>0.89917849999999999</v>
      </c>
      <c r="P62" s="1">
        <v>0.89973329999999996</v>
      </c>
      <c r="Q62" s="1">
        <v>0.89341519999999996</v>
      </c>
      <c r="R62" s="1">
        <v>0.90226770000000001</v>
      </c>
      <c r="S62" s="1">
        <v>0.89187119999999998</v>
      </c>
      <c r="T62" s="1">
        <v>0.89372300000000005</v>
      </c>
      <c r="U62" s="1">
        <v>0.89520169999999999</v>
      </c>
      <c r="V62" s="1">
        <v>0.90864829999999996</v>
      </c>
      <c r="W62" s="1">
        <v>0</v>
      </c>
      <c r="X62" s="1">
        <v>7.9670400000000002E-2</v>
      </c>
      <c r="Y62" s="1">
        <v>0.89308549999999998</v>
      </c>
      <c r="Z62" s="1">
        <v>0.94855979999999995</v>
      </c>
      <c r="AA62" s="1">
        <v>2.0579493000000002</v>
      </c>
      <c r="AB62" s="1">
        <v>1.6949618</v>
      </c>
    </row>
    <row r="63" spans="1:28" x14ac:dyDescent="0.25">
      <c r="A63" s="8" t="s">
        <v>108</v>
      </c>
      <c r="B63" s="8" t="s">
        <v>99</v>
      </c>
      <c r="C63" s="1">
        <v>1.1130948000000001</v>
      </c>
      <c r="D63" s="1">
        <v>1.050915</v>
      </c>
      <c r="E63" s="1">
        <v>1.0230836999999999</v>
      </c>
      <c r="F63" s="1">
        <v>1.0907559</v>
      </c>
      <c r="G63" s="1">
        <v>1.0929711</v>
      </c>
      <c r="H63" s="1">
        <v>1.0350915999999999</v>
      </c>
      <c r="I63" s="1">
        <v>1.0800619</v>
      </c>
      <c r="J63" s="1">
        <v>1.0620673</v>
      </c>
      <c r="K63" s="1">
        <v>1.1696991999999999</v>
      </c>
      <c r="L63" s="1">
        <v>1.040225</v>
      </c>
      <c r="M63" s="1">
        <v>1.0166917</v>
      </c>
      <c r="N63" s="1">
        <v>1.083636</v>
      </c>
      <c r="O63" s="1">
        <v>1.0809401999999999</v>
      </c>
      <c r="P63" s="1">
        <v>1.1164436</v>
      </c>
      <c r="Q63" s="1">
        <v>1.138684</v>
      </c>
      <c r="R63" s="1">
        <v>1.1104320999999999</v>
      </c>
      <c r="S63" s="1">
        <v>1.1342671</v>
      </c>
      <c r="T63" s="1">
        <v>1.0637946</v>
      </c>
      <c r="U63" s="1">
        <v>1.0180969</v>
      </c>
      <c r="V63" s="1">
        <v>1.0937787999999999</v>
      </c>
      <c r="W63" s="1">
        <v>8.2105399999999995E-2</v>
      </c>
      <c r="X63" s="1">
        <v>0</v>
      </c>
      <c r="Y63" s="1">
        <v>1.3481023000000001</v>
      </c>
      <c r="Z63" s="1">
        <v>1.3651926999999999</v>
      </c>
      <c r="AA63" s="1">
        <v>1.6708086</v>
      </c>
      <c r="AB63" s="1">
        <v>1.5025911000000001</v>
      </c>
    </row>
    <row r="64" spans="1:28" x14ac:dyDescent="0.25">
      <c r="A64" s="8" t="s">
        <v>109</v>
      </c>
      <c r="B64" s="8" t="s">
        <v>100</v>
      </c>
      <c r="C64" s="1">
        <v>0.96327949999999996</v>
      </c>
      <c r="D64" s="1">
        <v>0.89216139999999999</v>
      </c>
      <c r="E64" s="1">
        <v>0.89196730000000002</v>
      </c>
      <c r="F64" s="1">
        <v>0.89213439999999999</v>
      </c>
      <c r="G64" s="1">
        <v>0.89337610000000001</v>
      </c>
      <c r="H64" s="1">
        <v>0.89374880000000001</v>
      </c>
      <c r="I64" s="1">
        <v>0.90157149999999997</v>
      </c>
      <c r="J64" s="1">
        <v>0.91634629999999995</v>
      </c>
      <c r="K64" s="1">
        <v>0.89990950000000003</v>
      </c>
      <c r="L64" s="1">
        <v>0.89276029999999995</v>
      </c>
      <c r="M64" s="1">
        <v>0.89356210000000003</v>
      </c>
      <c r="N64" s="1">
        <v>0.8990669</v>
      </c>
      <c r="O64" s="1">
        <v>0.89428810000000003</v>
      </c>
      <c r="P64" s="1">
        <v>0.89359619999999995</v>
      </c>
      <c r="Q64" s="1">
        <v>0.89573689999999995</v>
      </c>
      <c r="R64" s="1">
        <v>0.90940500000000002</v>
      </c>
      <c r="S64" s="1">
        <v>0.89400670000000004</v>
      </c>
      <c r="T64" s="1">
        <v>0.89444159999999995</v>
      </c>
      <c r="U64" s="1">
        <v>0.90409779999999995</v>
      </c>
      <c r="V64" s="1">
        <v>0.89594629999999997</v>
      </c>
      <c r="W64" s="1">
        <v>0.89161250000000003</v>
      </c>
      <c r="X64" s="1">
        <v>0.98685650000000003</v>
      </c>
      <c r="Y64" s="1">
        <v>0</v>
      </c>
      <c r="Z64" s="1">
        <v>7.2359099999999996E-2</v>
      </c>
      <c r="AA64" s="1">
        <v>2.0421083000000002</v>
      </c>
      <c r="AB64" s="1">
        <v>1.6690392000000001</v>
      </c>
    </row>
    <row r="65" spans="1:28" x14ac:dyDescent="0.25">
      <c r="A65" s="8" t="s">
        <v>109</v>
      </c>
      <c r="B65" s="8" t="s">
        <v>101</v>
      </c>
      <c r="C65" s="1">
        <v>1.0601647000000001</v>
      </c>
      <c r="D65" s="1">
        <v>1.0300883999999999</v>
      </c>
      <c r="E65" s="1">
        <v>1.0358514999999999</v>
      </c>
      <c r="F65" s="1">
        <v>1.040205</v>
      </c>
      <c r="G65" s="1">
        <v>1.0444119000000001</v>
      </c>
      <c r="H65" s="1">
        <v>1.0574245</v>
      </c>
      <c r="I65" s="1">
        <v>1.0297425</v>
      </c>
      <c r="J65" s="1">
        <v>1.0975003000000001</v>
      </c>
      <c r="K65" s="1">
        <v>1.1116760000000001</v>
      </c>
      <c r="L65" s="1">
        <v>1.0154574000000001</v>
      </c>
      <c r="M65" s="1">
        <v>1.0253675</v>
      </c>
      <c r="N65" s="1">
        <v>1.1263837999999999</v>
      </c>
      <c r="O65" s="1">
        <v>1.0441539</v>
      </c>
      <c r="P65" s="1">
        <v>1.1038842</v>
      </c>
      <c r="Q65" s="1">
        <v>1.0323473999999999</v>
      </c>
      <c r="R65" s="1">
        <v>1.0424998000000001</v>
      </c>
      <c r="S65" s="1">
        <v>1.0288501000000001</v>
      </c>
      <c r="T65" s="1">
        <v>1.1452990000000001</v>
      </c>
      <c r="U65" s="1">
        <v>1.0500646</v>
      </c>
      <c r="V65" s="1">
        <v>1.1185035999999999</v>
      </c>
      <c r="W65" s="1">
        <v>0.99017929999999998</v>
      </c>
      <c r="X65" s="1">
        <v>1.2796609000000001</v>
      </c>
      <c r="Y65" s="1">
        <v>8.20549E-2</v>
      </c>
      <c r="Z65" s="1">
        <v>0</v>
      </c>
      <c r="AA65" s="1">
        <v>1.6783284999999999</v>
      </c>
      <c r="AB65" s="1">
        <v>1.4379405999999999</v>
      </c>
    </row>
    <row r="66" spans="1:28" x14ac:dyDescent="0.25">
      <c r="A66" s="8" t="s">
        <v>122</v>
      </c>
      <c r="B66" s="8" t="s">
        <v>102</v>
      </c>
      <c r="C66" s="1">
        <v>1.2014444</v>
      </c>
      <c r="D66" s="1">
        <v>1.1635513</v>
      </c>
      <c r="E66" s="1">
        <v>1.1575224</v>
      </c>
      <c r="F66" s="1">
        <v>1.1599565000000001</v>
      </c>
      <c r="G66" s="1">
        <v>1.181128</v>
      </c>
      <c r="H66" s="1">
        <v>1.2093084000000001</v>
      </c>
      <c r="I66" s="1">
        <v>1.2267759</v>
      </c>
      <c r="J66" s="1">
        <v>1.1893857000000001</v>
      </c>
      <c r="K66" s="1">
        <v>1.1894019</v>
      </c>
      <c r="L66" s="1">
        <v>1.1882448000000001</v>
      </c>
      <c r="M66" s="1">
        <v>1.1838839000000001</v>
      </c>
      <c r="N66" s="1">
        <v>1.1970746999999999</v>
      </c>
      <c r="O66" s="1">
        <v>1.1949023999999999</v>
      </c>
      <c r="P66" s="1">
        <v>1.2008467</v>
      </c>
      <c r="Q66" s="1">
        <v>1.1941416</v>
      </c>
      <c r="R66" s="1">
        <v>1.1939228</v>
      </c>
      <c r="S66" s="1">
        <v>1.2056743999999999</v>
      </c>
      <c r="T66" s="1">
        <v>1.1921048000000001</v>
      </c>
      <c r="U66" s="1">
        <v>1.2082236</v>
      </c>
      <c r="V66" s="1">
        <v>1.1877576999999999</v>
      </c>
      <c r="W66" s="1">
        <v>1.1593595000000001</v>
      </c>
      <c r="X66" s="1">
        <v>1.2574732</v>
      </c>
      <c r="Y66" s="1">
        <v>1.1566668</v>
      </c>
      <c r="Z66" s="1">
        <v>1.2338089999999999</v>
      </c>
      <c r="AA66" s="1">
        <v>0</v>
      </c>
      <c r="AB66" s="1">
        <v>1.3398920999999999</v>
      </c>
    </row>
    <row r="67" spans="1:28" x14ac:dyDescent="0.25">
      <c r="A67" s="8" t="s">
        <v>123</v>
      </c>
      <c r="B67" s="8" t="s">
        <v>121</v>
      </c>
      <c r="C67" s="1">
        <v>1.0910036999999999</v>
      </c>
      <c r="D67" s="1">
        <v>1.0637901000000001</v>
      </c>
      <c r="E67" s="1">
        <v>1.0601932999999999</v>
      </c>
      <c r="F67" s="1">
        <v>1.0607561999999999</v>
      </c>
      <c r="G67" s="1">
        <v>1.0910316</v>
      </c>
      <c r="H67" s="1">
        <v>1.1032305</v>
      </c>
      <c r="I67" s="1">
        <v>1.0825958</v>
      </c>
      <c r="J67" s="1">
        <v>1.1148693999999999</v>
      </c>
      <c r="K67" s="1">
        <v>1.1022797</v>
      </c>
      <c r="L67" s="1">
        <v>1.1305721</v>
      </c>
      <c r="M67" s="1">
        <v>1.0908496000000001</v>
      </c>
      <c r="N67" s="1">
        <v>1.0942166</v>
      </c>
      <c r="O67" s="1">
        <v>1.0917756999999999</v>
      </c>
      <c r="P67" s="1">
        <v>1.0931915999999999</v>
      </c>
      <c r="Q67" s="1">
        <v>1.0886075</v>
      </c>
      <c r="R67" s="1">
        <v>1.1135752000000001</v>
      </c>
      <c r="S67" s="1">
        <v>1.0856416</v>
      </c>
      <c r="T67" s="1">
        <v>1.0928055999999999</v>
      </c>
      <c r="U67" s="1">
        <v>1.0963943</v>
      </c>
      <c r="V67" s="1">
        <v>1.1168931</v>
      </c>
      <c r="W67" s="1">
        <v>1.0645931</v>
      </c>
      <c r="X67" s="1">
        <v>1.1876431000000001</v>
      </c>
      <c r="Y67" s="1">
        <v>1.0676680000000001</v>
      </c>
      <c r="Z67" s="1">
        <v>1.1896439000000001</v>
      </c>
      <c r="AA67" s="1">
        <v>1.736613</v>
      </c>
      <c r="AB67" s="1">
        <v>0</v>
      </c>
    </row>
  </sheetData>
  <mergeCells count="1">
    <mergeCell ref="B29:C30"/>
  </mergeCells>
  <conditionalFormatting sqref="C2:Z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I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:AB6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workbookViewId="0">
      <selection activeCell="C40" sqref="C40"/>
    </sheetView>
  </sheetViews>
  <sheetFormatPr defaultRowHeight="15" x14ac:dyDescent="0.25"/>
  <cols>
    <col min="1" max="1" width="27.5703125" bestFit="1" customWidth="1"/>
    <col min="2" max="2" width="27.5703125" style="1" customWidth="1"/>
    <col min="3" max="8" width="23.85546875" style="1" customWidth="1"/>
  </cols>
  <sheetData>
    <row r="1" spans="1:8" x14ac:dyDescent="0.25">
      <c r="A1" s="2" t="s">
        <v>0</v>
      </c>
    </row>
    <row r="2" spans="1:8" x14ac:dyDescent="0.25">
      <c r="A2" t="s">
        <v>1</v>
      </c>
      <c r="B2" s="1">
        <v>0.71772000000000002</v>
      </c>
      <c r="C2" s="1">
        <v>0.55404039999999999</v>
      </c>
      <c r="D2" s="1">
        <v>0.73537830000000004</v>
      </c>
      <c r="E2" s="1">
        <v>0.73545150000000004</v>
      </c>
    </row>
    <row r="3" spans="1:8" x14ac:dyDescent="0.25">
      <c r="A3" t="s">
        <v>2</v>
      </c>
      <c r="B3" s="1">
        <v>0</v>
      </c>
      <c r="C3" s="1">
        <v>0.87803359999999997</v>
      </c>
      <c r="D3" s="1">
        <v>0.88037609999999999</v>
      </c>
      <c r="E3" s="1">
        <v>0.88151360000000001</v>
      </c>
      <c r="F3" s="1">
        <v>0.88155340000000004</v>
      </c>
      <c r="G3" s="1">
        <v>0.8893278</v>
      </c>
      <c r="H3" s="1">
        <v>0.8871367</v>
      </c>
    </row>
    <row r="4" spans="1:8" x14ac:dyDescent="0.25">
      <c r="A4" t="s">
        <v>3</v>
      </c>
      <c r="B4" s="1">
        <v>0</v>
      </c>
      <c r="C4" s="1">
        <v>0.89222029999999997</v>
      </c>
      <c r="D4" s="1">
        <v>0.89269949999999998</v>
      </c>
      <c r="E4" s="1">
        <v>0.89248700000000003</v>
      </c>
      <c r="F4" s="1">
        <v>0.89279649999999999</v>
      </c>
      <c r="G4" s="1">
        <v>0.89194609999999996</v>
      </c>
      <c r="H4" s="1">
        <v>0.89260079999999997</v>
      </c>
    </row>
    <row r="5" spans="1:8" x14ac:dyDescent="0.25">
      <c r="A5" s="2" t="s">
        <v>4</v>
      </c>
      <c r="B5" s="1">
        <f>AVERAGE(B3,B4)</f>
        <v>0</v>
      </c>
      <c r="C5" s="1">
        <f t="shared" ref="C5:H5" si="0">AVERAGE(C3,C4)</f>
        <v>0.88512694999999997</v>
      </c>
      <c r="D5" s="1">
        <f t="shared" si="0"/>
        <v>0.88653779999999993</v>
      </c>
      <c r="E5" s="1">
        <f t="shared" si="0"/>
        <v>0.88700029999999996</v>
      </c>
      <c r="F5" s="1">
        <f t="shared" si="0"/>
        <v>0.88717495000000002</v>
      </c>
      <c r="G5" s="1">
        <f t="shared" si="0"/>
        <v>0.89063694999999998</v>
      </c>
      <c r="H5" s="1">
        <f t="shared" si="0"/>
        <v>0.88986874999999999</v>
      </c>
    </row>
    <row r="6" spans="1:8" x14ac:dyDescent="0.25">
      <c r="A6" t="s">
        <v>5</v>
      </c>
      <c r="B6" s="1">
        <v>0.73469019999999996</v>
      </c>
      <c r="C6" s="1">
        <v>0.55420849999999999</v>
      </c>
      <c r="D6" s="1">
        <v>0.73517160000000004</v>
      </c>
      <c r="E6" s="1">
        <v>0.73526530000000001</v>
      </c>
    </row>
    <row r="7" spans="1:8" x14ac:dyDescent="0.25">
      <c r="A7" t="s">
        <v>6</v>
      </c>
      <c r="B7" s="1">
        <v>0.87510900000000003</v>
      </c>
      <c r="C7" s="1">
        <v>0</v>
      </c>
      <c r="D7" s="1">
        <v>0.88206649999999998</v>
      </c>
      <c r="E7" s="1">
        <v>0.88181759999999998</v>
      </c>
      <c r="F7" s="1">
        <v>0.88256999999999997</v>
      </c>
      <c r="G7" s="1">
        <v>0.87793779999999999</v>
      </c>
      <c r="H7" s="1">
        <v>0.87781070000000005</v>
      </c>
    </row>
    <row r="8" spans="1:8" x14ac:dyDescent="0.25">
      <c r="A8" t="s">
        <v>7</v>
      </c>
      <c r="B8" s="1">
        <v>0.89357299999999995</v>
      </c>
      <c r="C8" s="1">
        <v>0</v>
      </c>
      <c r="D8" s="1">
        <v>0.89435549999999997</v>
      </c>
      <c r="E8" s="1">
        <v>0.89462450000000004</v>
      </c>
      <c r="F8" s="1">
        <v>0.89424630000000005</v>
      </c>
      <c r="G8" s="1">
        <v>0.89328149999999995</v>
      </c>
      <c r="H8" s="1">
        <v>0.89349129999999999</v>
      </c>
    </row>
    <row r="9" spans="1:8" x14ac:dyDescent="0.25">
      <c r="A9" s="2" t="s">
        <v>8</v>
      </c>
      <c r="B9" s="1">
        <f>AVERAGE(B7,B8)</f>
        <v>0.88434100000000004</v>
      </c>
      <c r="C9" s="1">
        <f t="shared" ref="C9" si="1">AVERAGE(C7,C8)</f>
        <v>0</v>
      </c>
      <c r="D9" s="1">
        <f t="shared" ref="D9" si="2">AVERAGE(D7,D8)</f>
        <v>0.88821099999999997</v>
      </c>
      <c r="E9" s="1">
        <f t="shared" ref="E9" si="3">AVERAGE(E7,E8)</f>
        <v>0.88822105000000007</v>
      </c>
      <c r="F9" s="1">
        <f t="shared" ref="F9" si="4">AVERAGE(F7,F8)</f>
        <v>0.88840815000000006</v>
      </c>
      <c r="G9" s="1">
        <f t="shared" ref="G9" si="5">AVERAGE(G7,G8)</f>
        <v>0.88560964999999991</v>
      </c>
      <c r="H9" s="1">
        <f t="shared" ref="H9" si="6">AVERAGE(H7,H8)</f>
        <v>0.88565099999999997</v>
      </c>
    </row>
    <row r="10" spans="1:8" x14ac:dyDescent="0.25">
      <c r="A10" t="s">
        <v>9</v>
      </c>
      <c r="B10" s="1">
        <v>0.73512339999999998</v>
      </c>
      <c r="C10" s="1">
        <v>0.55393360000000003</v>
      </c>
      <c r="D10" s="1">
        <v>0.73561290000000001</v>
      </c>
      <c r="E10" s="1">
        <v>0.73582460000000005</v>
      </c>
    </row>
    <row r="11" spans="1:8" x14ac:dyDescent="0.25">
      <c r="A11" t="s">
        <v>10</v>
      </c>
      <c r="B11" s="1">
        <v>0.87796810000000003</v>
      </c>
      <c r="C11" s="1">
        <v>0.88228850000000003</v>
      </c>
      <c r="D11" s="1">
        <v>0</v>
      </c>
      <c r="E11" s="1">
        <v>0.88250609999999996</v>
      </c>
      <c r="F11" s="1">
        <v>0.88237120000000002</v>
      </c>
      <c r="G11" s="1">
        <v>0.88026740000000003</v>
      </c>
      <c r="H11" s="1">
        <v>0.87875840000000005</v>
      </c>
    </row>
    <row r="12" spans="1:8" x14ac:dyDescent="0.25">
      <c r="A12" t="s">
        <v>11</v>
      </c>
      <c r="B12" s="1">
        <v>0.89547319999999997</v>
      </c>
      <c r="C12" s="1">
        <v>0.89410020000000001</v>
      </c>
      <c r="D12" s="1">
        <v>0</v>
      </c>
      <c r="E12" s="1">
        <v>0.89425060000000001</v>
      </c>
      <c r="F12" s="1">
        <v>0.89498</v>
      </c>
      <c r="G12" s="1">
        <v>0.89304209999999995</v>
      </c>
      <c r="H12" s="1">
        <v>0.89365479999999997</v>
      </c>
    </row>
    <row r="13" spans="1:8" x14ac:dyDescent="0.25">
      <c r="A13" s="2" t="s">
        <v>12</v>
      </c>
      <c r="B13" s="1">
        <f>AVERAGE(B11,B12)</f>
        <v>0.88672065</v>
      </c>
      <c r="C13" s="1">
        <f t="shared" ref="C13" si="7">AVERAGE(C11,C12)</f>
        <v>0.88819435000000002</v>
      </c>
      <c r="D13" s="1">
        <f t="shared" ref="D13" si="8">AVERAGE(D11,D12)</f>
        <v>0</v>
      </c>
      <c r="E13" s="1">
        <f t="shared" ref="E13" si="9">AVERAGE(E11,E12)</f>
        <v>0.88837834999999998</v>
      </c>
      <c r="F13" s="1">
        <f t="shared" ref="F13" si="10">AVERAGE(F11,F12)</f>
        <v>0.88867560000000001</v>
      </c>
      <c r="G13" s="1">
        <f t="shared" ref="G13" si="11">AVERAGE(G11,G12)</f>
        <v>0.88665474999999994</v>
      </c>
      <c r="H13" s="1">
        <f t="shared" ref="H13" si="12">AVERAGE(H11,H12)</f>
        <v>0.88620659999999996</v>
      </c>
    </row>
    <row r="14" spans="1:8" x14ac:dyDescent="0.25">
      <c r="A14" t="s">
        <v>13</v>
      </c>
      <c r="B14" s="1">
        <v>0.67956110000000003</v>
      </c>
      <c r="C14" s="1">
        <v>0.55885859999999998</v>
      </c>
      <c r="D14" s="1">
        <v>0.7356608</v>
      </c>
      <c r="E14" s="1">
        <v>0.7356374</v>
      </c>
    </row>
    <row r="15" spans="1:8" x14ac:dyDescent="0.25">
      <c r="A15" t="s">
        <v>14</v>
      </c>
      <c r="B15" s="1">
        <v>0.87563420000000003</v>
      </c>
      <c r="C15" s="1">
        <v>0.88231539999999997</v>
      </c>
      <c r="D15" s="1">
        <v>0.88260749999999999</v>
      </c>
      <c r="E15" s="1">
        <v>0</v>
      </c>
      <c r="F15" s="1">
        <v>0.882185</v>
      </c>
      <c r="G15" s="1">
        <v>0.87664059999999999</v>
      </c>
      <c r="H15" s="1">
        <v>0.87511729999999999</v>
      </c>
    </row>
    <row r="16" spans="1:8" x14ac:dyDescent="0.25">
      <c r="A16" t="s">
        <v>15</v>
      </c>
      <c r="B16" s="1">
        <v>0.89386339999999997</v>
      </c>
      <c r="C16" s="1">
        <v>0.89436599999999999</v>
      </c>
      <c r="D16" s="1">
        <v>0.89446970000000003</v>
      </c>
      <c r="E16" s="1">
        <v>0</v>
      </c>
      <c r="F16" s="1">
        <v>0.89422420000000002</v>
      </c>
      <c r="G16" s="1">
        <v>0.89336780000000005</v>
      </c>
      <c r="H16" s="1">
        <v>0.89325790000000005</v>
      </c>
    </row>
    <row r="17" spans="1:8" x14ac:dyDescent="0.25">
      <c r="A17" s="2" t="s">
        <v>16</v>
      </c>
      <c r="B17" s="1">
        <f>AVERAGE(B15,B16)</f>
        <v>0.8847488</v>
      </c>
      <c r="C17" s="1">
        <f t="shared" ref="C17" si="13">AVERAGE(C15,C16)</f>
        <v>0.88834069999999998</v>
      </c>
      <c r="D17" s="1">
        <f t="shared" ref="D17" si="14">AVERAGE(D15,D16)</f>
        <v>0.88853859999999996</v>
      </c>
      <c r="E17" s="1">
        <f t="shared" ref="E17" si="15">AVERAGE(E15,E16)</f>
        <v>0</v>
      </c>
      <c r="F17" s="1">
        <f t="shared" ref="F17" si="16">AVERAGE(F15,F16)</f>
        <v>0.88820460000000001</v>
      </c>
      <c r="G17" s="1">
        <f t="shared" ref="G17" si="17">AVERAGE(G15,G16)</f>
        <v>0.88500420000000002</v>
      </c>
      <c r="H17" s="1">
        <f t="shared" ref="H17" si="18">AVERAGE(H15,H16)</f>
        <v>0.88418759999999996</v>
      </c>
    </row>
    <row r="18" spans="1:8" x14ac:dyDescent="0.25">
      <c r="A18" t="s">
        <v>17</v>
      </c>
      <c r="B18" s="1">
        <v>0.73372289999999996</v>
      </c>
      <c r="C18" s="1">
        <v>0.54918960000000006</v>
      </c>
      <c r="D18" s="1">
        <v>0.73552229999999996</v>
      </c>
      <c r="E18" s="1">
        <v>0.73640629999999996</v>
      </c>
    </row>
    <row r="19" spans="1:8" x14ac:dyDescent="0.25">
      <c r="A19" t="s">
        <v>18</v>
      </c>
      <c r="B19" s="1">
        <v>0.88053040000000005</v>
      </c>
      <c r="C19" s="1">
        <v>0.882355</v>
      </c>
      <c r="D19" s="1">
        <v>0.88268729999999995</v>
      </c>
      <c r="E19" s="1">
        <v>0.8825712</v>
      </c>
      <c r="F19" s="1">
        <v>0</v>
      </c>
      <c r="G19" s="1">
        <v>0.8760483</v>
      </c>
      <c r="H19" s="1">
        <v>0.88077090000000002</v>
      </c>
    </row>
    <row r="20" spans="1:8" x14ac:dyDescent="0.25">
      <c r="A20" t="s">
        <v>19</v>
      </c>
      <c r="B20" s="1">
        <v>0.89350099999999999</v>
      </c>
      <c r="C20" s="1">
        <v>0.89498520000000004</v>
      </c>
      <c r="D20" s="1">
        <v>0.89599439999999997</v>
      </c>
      <c r="E20" s="1">
        <v>0.89479350000000002</v>
      </c>
      <c r="F20" s="1">
        <v>0</v>
      </c>
      <c r="G20" s="1">
        <v>0.89317820000000003</v>
      </c>
      <c r="H20" s="1">
        <v>0.8934879</v>
      </c>
    </row>
    <row r="21" spans="1:8" x14ac:dyDescent="0.25">
      <c r="A21" s="2" t="s">
        <v>20</v>
      </c>
      <c r="B21" s="1">
        <f>AVERAGE(B19,B20)</f>
        <v>0.88701570000000007</v>
      </c>
      <c r="C21" s="1">
        <f t="shared" ref="C21" si="19">AVERAGE(C19,C20)</f>
        <v>0.88867010000000002</v>
      </c>
      <c r="D21" s="1">
        <f t="shared" ref="D21" si="20">AVERAGE(D19,D20)</f>
        <v>0.88934084999999996</v>
      </c>
      <c r="E21" s="1">
        <f t="shared" ref="E21" si="21">AVERAGE(E19,E20)</f>
        <v>0.88868235000000007</v>
      </c>
      <c r="F21" s="1">
        <f t="shared" ref="F21" si="22">AVERAGE(F19,F20)</f>
        <v>0</v>
      </c>
      <c r="G21" s="1">
        <f t="shared" ref="G21" si="23">AVERAGE(G19,G20)</f>
        <v>0.88461325000000002</v>
      </c>
      <c r="H21" s="1">
        <f t="shared" ref="H21" si="24">AVERAGE(H19,H20)</f>
        <v>0.88712940000000007</v>
      </c>
    </row>
    <row r="22" spans="1:8" x14ac:dyDescent="0.25">
      <c r="A22" t="s">
        <v>21</v>
      </c>
      <c r="B22" s="1">
        <v>1.8010941</v>
      </c>
      <c r="C22" s="1">
        <v>1.59076</v>
      </c>
      <c r="D22" s="1">
        <v>1.7885180000000001</v>
      </c>
      <c r="E22" s="1">
        <v>1.7885956999999999</v>
      </c>
    </row>
    <row r="23" spans="1:8" x14ac:dyDescent="0.25">
      <c r="A23" t="s">
        <v>22</v>
      </c>
      <c r="B23" s="1">
        <v>0.87776569999999998</v>
      </c>
      <c r="C23" s="1">
        <v>0.88246970000000002</v>
      </c>
      <c r="D23" s="1">
        <v>0.88439230000000002</v>
      </c>
      <c r="E23" s="1">
        <v>0.87979719999999995</v>
      </c>
      <c r="F23" s="1">
        <v>0.88452169999999997</v>
      </c>
      <c r="G23" s="1">
        <v>0</v>
      </c>
      <c r="H23" s="1">
        <v>0.8847623</v>
      </c>
    </row>
    <row r="24" spans="1:8" x14ac:dyDescent="0.25">
      <c r="A24" t="s">
        <v>23</v>
      </c>
      <c r="B24" s="1">
        <v>0.89425129999999997</v>
      </c>
      <c r="C24" s="1">
        <v>0.89205959999999995</v>
      </c>
      <c r="D24" s="1">
        <v>0.89246610000000004</v>
      </c>
      <c r="E24" s="1">
        <v>0.89251020000000003</v>
      </c>
      <c r="F24" s="1">
        <v>0.89225239999999995</v>
      </c>
      <c r="G24" s="1">
        <v>0</v>
      </c>
      <c r="H24" s="1">
        <v>0.89408799999999999</v>
      </c>
    </row>
    <row r="25" spans="1:8" x14ac:dyDescent="0.25">
      <c r="A25" s="2" t="s">
        <v>24</v>
      </c>
      <c r="B25" s="1">
        <f>AVERAGE(B23,B24)</f>
        <v>0.88600849999999998</v>
      </c>
      <c r="C25" s="1">
        <f t="shared" ref="C25" si="25">AVERAGE(C23,C24)</f>
        <v>0.88726464999999999</v>
      </c>
      <c r="D25" s="1">
        <f t="shared" ref="D25" si="26">AVERAGE(D23,D24)</f>
        <v>0.88842920000000003</v>
      </c>
      <c r="E25" s="1">
        <f t="shared" ref="E25" si="27">AVERAGE(E23,E24)</f>
        <v>0.88615369999999993</v>
      </c>
      <c r="F25" s="1">
        <f t="shared" ref="F25" si="28">AVERAGE(F23,F24)</f>
        <v>0.88838704999999996</v>
      </c>
      <c r="G25" s="1">
        <f t="shared" ref="G25" si="29">AVERAGE(G23,G24)</f>
        <v>0</v>
      </c>
      <c r="H25" s="1">
        <f t="shared" ref="H25" si="30">AVERAGE(H23,H24)</f>
        <v>0.88942515</v>
      </c>
    </row>
    <row r="26" spans="1:8" x14ac:dyDescent="0.25">
      <c r="A26" t="s">
        <v>25</v>
      </c>
      <c r="B26" s="1">
        <v>1.8004255</v>
      </c>
      <c r="C26" s="1">
        <v>1.5899639000000001</v>
      </c>
      <c r="D26" s="1">
        <v>1.7885997</v>
      </c>
      <c r="E26" s="1">
        <v>1.7885766000000001</v>
      </c>
    </row>
    <row r="27" spans="1:8" x14ac:dyDescent="0.25">
      <c r="A27" t="s">
        <v>26</v>
      </c>
      <c r="B27" s="1">
        <v>0.88094709999999998</v>
      </c>
      <c r="C27" s="1">
        <v>0.88390139999999995</v>
      </c>
      <c r="D27" s="1">
        <v>0.88418719999999995</v>
      </c>
      <c r="E27" s="1">
        <v>0.88300630000000002</v>
      </c>
      <c r="F27" s="1">
        <v>0.88286160000000002</v>
      </c>
      <c r="G27" s="1">
        <v>0.88331599999999999</v>
      </c>
      <c r="H27" s="1">
        <v>0</v>
      </c>
    </row>
    <row r="28" spans="1:8" x14ac:dyDescent="0.25">
      <c r="A28" t="s">
        <v>27</v>
      </c>
      <c r="B28" s="1">
        <v>0.90135169999999998</v>
      </c>
      <c r="C28" s="1">
        <v>0.89222069999999998</v>
      </c>
      <c r="D28" s="1">
        <v>0.89245129999999995</v>
      </c>
      <c r="E28" s="1">
        <v>0.89240459999999999</v>
      </c>
      <c r="F28" s="1">
        <v>0.89537069999999996</v>
      </c>
      <c r="G28" s="1">
        <v>0.89287499999999997</v>
      </c>
      <c r="H28" s="1">
        <v>0</v>
      </c>
    </row>
    <row r="29" spans="1:8" x14ac:dyDescent="0.25">
      <c r="B29" s="1">
        <f>AVERAGE(B27,B28)</f>
        <v>0.89114939999999998</v>
      </c>
      <c r="C29" s="1">
        <f t="shared" ref="C29" si="31">AVERAGE(C27,C28)</f>
        <v>0.88806104999999991</v>
      </c>
      <c r="D29" s="1">
        <f t="shared" ref="D29" si="32">AVERAGE(D27,D28)</f>
        <v>0.88831924999999989</v>
      </c>
      <c r="E29" s="1">
        <f t="shared" ref="E29" si="33">AVERAGE(E27,E28)</f>
        <v>0.88770545000000001</v>
      </c>
      <c r="F29" s="1">
        <f t="shared" ref="F29" si="34">AVERAGE(F27,F28)</f>
        <v>0.88911614999999999</v>
      </c>
      <c r="G29" s="1">
        <f t="shared" ref="G29" si="35">AVERAGE(G27,G28)</f>
        <v>0.88809549999999993</v>
      </c>
      <c r="H29" s="1">
        <f t="shared" ref="H29" si="36">AVERAGE(H27,H28)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97"/>
  <sheetViews>
    <sheetView workbookViewId="0">
      <selection activeCell="E31" sqref="E31"/>
    </sheetView>
  </sheetViews>
  <sheetFormatPr defaultRowHeight="15" x14ac:dyDescent="0.25"/>
  <cols>
    <col min="2" max="2" width="19.85546875" bestFit="1" customWidth="1"/>
    <col min="3" max="26" width="9.5703125" style="1" bestFit="1" customWidth="1"/>
    <col min="30" max="33" width="9.5703125" bestFit="1" customWidth="1"/>
  </cols>
  <sheetData>
    <row r="1" spans="2:26" x14ac:dyDescent="0.25"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</row>
    <row r="2" spans="2:26" x14ac:dyDescent="0.25">
      <c r="B2" t="s">
        <v>0</v>
      </c>
    </row>
    <row r="3" spans="2:26" x14ac:dyDescent="0.25">
      <c r="B3" t="s">
        <v>1</v>
      </c>
      <c r="C3" s="1">
        <v>0.73829630000000002</v>
      </c>
      <c r="D3" s="1">
        <v>0.55561400000000005</v>
      </c>
      <c r="E3" s="1">
        <v>0.73638630000000005</v>
      </c>
      <c r="F3" s="1">
        <v>0.73615960000000003</v>
      </c>
    </row>
    <row r="4" spans="2:26" x14ac:dyDescent="0.25">
      <c r="B4" t="s">
        <v>2</v>
      </c>
      <c r="C4" s="1">
        <v>0</v>
      </c>
      <c r="D4" s="1">
        <v>0.89121989999999995</v>
      </c>
      <c r="E4" s="1">
        <v>0.87656619999999996</v>
      </c>
      <c r="F4" s="1">
        <v>0.88018890000000005</v>
      </c>
      <c r="G4" s="1">
        <v>0.87954429999999995</v>
      </c>
      <c r="H4" s="1">
        <v>0.8760173</v>
      </c>
      <c r="I4" s="1">
        <v>0.981375</v>
      </c>
      <c r="J4" s="1">
        <v>1.86582E-2</v>
      </c>
      <c r="K4" s="1">
        <v>0.96699950000000001</v>
      </c>
      <c r="L4" s="1">
        <v>0.88814899999999997</v>
      </c>
      <c r="M4" s="1">
        <v>0.88253780000000004</v>
      </c>
      <c r="N4" s="1">
        <v>0.88026309999999997</v>
      </c>
      <c r="O4" s="1">
        <v>1.0144063999999999</v>
      </c>
      <c r="P4" s="1">
        <v>1.0379646</v>
      </c>
      <c r="Q4" s="1">
        <v>1.8409999999999999E-2</v>
      </c>
      <c r="R4" s="1">
        <v>0.91229680000000002</v>
      </c>
      <c r="S4" s="1">
        <v>0.92245460000000001</v>
      </c>
      <c r="T4" s="1">
        <v>0.88239809999999996</v>
      </c>
      <c r="U4" s="1">
        <v>0.88239500000000004</v>
      </c>
      <c r="V4" s="1">
        <v>0.95556019999999997</v>
      </c>
      <c r="W4" s="1">
        <v>1.0331391999999999</v>
      </c>
      <c r="X4" s="1">
        <v>1.8888200000000001E-2</v>
      </c>
      <c r="Y4" s="1">
        <v>0.97006269999999994</v>
      </c>
      <c r="Z4" s="1">
        <v>0.87962510000000005</v>
      </c>
    </row>
    <row r="5" spans="2:26" x14ac:dyDescent="0.25">
      <c r="B5" t="s">
        <v>3</v>
      </c>
      <c r="C5" s="1">
        <v>0</v>
      </c>
      <c r="D5" s="1">
        <v>0.89239880000000005</v>
      </c>
      <c r="E5" s="1">
        <v>0.89222570000000001</v>
      </c>
      <c r="F5" s="1">
        <v>0.89224669999999995</v>
      </c>
      <c r="G5" s="1">
        <v>0.89183809999999997</v>
      </c>
      <c r="H5" s="1">
        <v>1.0137613000000001</v>
      </c>
      <c r="I5" s="1">
        <v>0.89260269999999997</v>
      </c>
      <c r="J5" s="1">
        <v>1.8185099999999999E-2</v>
      </c>
      <c r="K5" s="1">
        <v>0.89587879999999998</v>
      </c>
      <c r="L5" s="1">
        <v>0.9040861</v>
      </c>
      <c r="M5" s="1">
        <v>0.89175439999999995</v>
      </c>
      <c r="N5" s="1">
        <v>0.89635750000000003</v>
      </c>
      <c r="O5" s="1">
        <v>1.0058975000000001</v>
      </c>
      <c r="P5" s="1">
        <v>0.93713809999999997</v>
      </c>
      <c r="Q5" s="1">
        <v>1.8010399999999999E-2</v>
      </c>
      <c r="R5" s="1">
        <v>0.89190440000000004</v>
      </c>
      <c r="S5" s="1">
        <v>0.89237549999999999</v>
      </c>
      <c r="T5" s="1">
        <v>0.89188619999999996</v>
      </c>
      <c r="U5" s="1">
        <v>0.8919127</v>
      </c>
      <c r="V5" s="1">
        <v>0.89214850000000001</v>
      </c>
      <c r="W5" s="1">
        <v>0.94944759999999995</v>
      </c>
      <c r="X5" s="1">
        <v>1.77696E-2</v>
      </c>
      <c r="Y5" s="1">
        <v>0.9034951</v>
      </c>
      <c r="Z5" s="1">
        <v>0.89843989999999996</v>
      </c>
    </row>
    <row r="6" spans="2:26" x14ac:dyDescent="0.25">
      <c r="B6" t="s">
        <v>4</v>
      </c>
    </row>
    <row r="7" spans="2:26" x14ac:dyDescent="0.25">
      <c r="B7" t="s">
        <v>5</v>
      </c>
      <c r="C7" s="1">
        <v>0.80480890000000005</v>
      </c>
      <c r="D7" s="1">
        <v>0.68543359999999998</v>
      </c>
      <c r="E7" s="1">
        <v>1.1257956</v>
      </c>
      <c r="F7" s="1">
        <v>0.88551139999999995</v>
      </c>
    </row>
    <row r="8" spans="2:26" x14ac:dyDescent="0.25">
      <c r="B8" t="s">
        <v>6</v>
      </c>
      <c r="C8" s="1">
        <v>0.8829825</v>
      </c>
      <c r="D8" s="1">
        <v>0</v>
      </c>
      <c r="E8" s="1">
        <v>0.98271370000000002</v>
      </c>
      <c r="F8" s="1">
        <v>0.87950660000000003</v>
      </c>
      <c r="G8" s="1">
        <v>0.88162160000000001</v>
      </c>
      <c r="H8" s="1">
        <v>1.0203795</v>
      </c>
      <c r="I8" s="1">
        <v>0.88184119999999999</v>
      </c>
      <c r="J8" s="1">
        <v>0.88236619999999999</v>
      </c>
      <c r="K8" s="1">
        <v>1.8849100000000001E-2</v>
      </c>
      <c r="L8" s="1">
        <v>0.9160836</v>
      </c>
      <c r="M8" s="1">
        <v>0.90261080000000005</v>
      </c>
      <c r="N8" s="1">
        <v>0.88207049999999998</v>
      </c>
      <c r="O8" s="1">
        <v>1.0238537999999999</v>
      </c>
      <c r="P8" s="1">
        <v>1.0471017</v>
      </c>
      <c r="Q8" s="1">
        <v>0.87745620000000002</v>
      </c>
      <c r="R8" s="1">
        <v>1.9046799999999999E-2</v>
      </c>
      <c r="S8" s="1">
        <v>1.0048656</v>
      </c>
      <c r="T8" s="1">
        <v>0.88245059999999997</v>
      </c>
      <c r="U8" s="1">
        <v>0.88338970000000006</v>
      </c>
      <c r="V8" s="1">
        <v>0.95538520000000005</v>
      </c>
      <c r="W8" s="1">
        <v>1.1554513</v>
      </c>
      <c r="X8" s="1">
        <v>0.88954089999999997</v>
      </c>
      <c r="Y8" s="1">
        <v>3.82831E-2</v>
      </c>
      <c r="Z8" s="1">
        <v>0.88915730000000004</v>
      </c>
    </row>
    <row r="9" spans="2:26" x14ac:dyDescent="0.25">
      <c r="B9" t="s">
        <v>7</v>
      </c>
      <c r="C9" s="1">
        <v>0.89322420000000002</v>
      </c>
      <c r="D9" s="1">
        <v>0</v>
      </c>
      <c r="E9" s="1">
        <v>0.92233509999999996</v>
      </c>
      <c r="F9" s="1">
        <v>0.9567947</v>
      </c>
      <c r="G9" s="1">
        <v>0.89366959999999995</v>
      </c>
      <c r="H9" s="1">
        <v>1.0271509000000001</v>
      </c>
      <c r="I9" s="1">
        <v>0.95805220000000002</v>
      </c>
      <c r="J9" s="1">
        <v>0.99553659999999999</v>
      </c>
      <c r="K9" s="1">
        <v>3.7224300000000002E-2</v>
      </c>
      <c r="L9" s="1">
        <v>0.95748540000000004</v>
      </c>
      <c r="M9" s="1">
        <v>0.95603369999999999</v>
      </c>
      <c r="N9" s="1">
        <v>0.91676500000000005</v>
      </c>
      <c r="O9" s="1">
        <v>0.95552539999999997</v>
      </c>
      <c r="P9" s="1">
        <v>1.0900707000000001</v>
      </c>
      <c r="Q9" s="1">
        <v>0.89757180000000003</v>
      </c>
      <c r="R9" s="1">
        <v>1.7718100000000001E-2</v>
      </c>
      <c r="S9" s="1">
        <v>0.94713899999999995</v>
      </c>
      <c r="T9" s="1">
        <v>0.95085640000000005</v>
      </c>
      <c r="U9" s="1">
        <v>0.89376040000000001</v>
      </c>
      <c r="V9" s="1">
        <v>0.92155960000000003</v>
      </c>
      <c r="W9" s="1">
        <v>1.1031845</v>
      </c>
      <c r="X9" s="1">
        <v>0.90705970000000002</v>
      </c>
      <c r="Y9" s="1">
        <v>1.8514900000000001E-2</v>
      </c>
      <c r="Z9" s="1">
        <v>0.99294610000000005</v>
      </c>
    </row>
    <row r="10" spans="2:26" x14ac:dyDescent="0.25">
      <c r="B10" t="s">
        <v>8</v>
      </c>
    </row>
    <row r="11" spans="2:26" x14ac:dyDescent="0.25">
      <c r="B11" t="s">
        <v>9</v>
      </c>
      <c r="C11" s="1">
        <v>0.83253719999999998</v>
      </c>
      <c r="D11" s="1">
        <v>0.72777270000000005</v>
      </c>
      <c r="E11" s="1">
        <v>0.79564290000000004</v>
      </c>
      <c r="F11" s="1">
        <v>1.080889</v>
      </c>
    </row>
    <row r="12" spans="2:26" x14ac:dyDescent="0.25">
      <c r="B12" t="s">
        <v>10</v>
      </c>
      <c r="C12" s="1">
        <v>0.87915520000000003</v>
      </c>
      <c r="D12" s="1">
        <v>0.91765070000000004</v>
      </c>
      <c r="E12" s="1">
        <v>0</v>
      </c>
      <c r="F12" s="1">
        <v>0.92272419999999999</v>
      </c>
      <c r="G12" s="1">
        <v>0.90785260000000001</v>
      </c>
      <c r="H12" s="1">
        <v>0.91802329999999999</v>
      </c>
      <c r="I12" s="1">
        <v>0.8753512</v>
      </c>
      <c r="J12" s="1">
        <v>0.87845229999999996</v>
      </c>
      <c r="K12" s="1">
        <v>0.91762920000000003</v>
      </c>
      <c r="L12" s="1">
        <v>3.0189000000000001E-2</v>
      </c>
      <c r="M12" s="1">
        <v>0.88318439999999998</v>
      </c>
      <c r="N12" s="1">
        <v>0.88250830000000002</v>
      </c>
      <c r="O12" s="1">
        <v>1.0287967</v>
      </c>
      <c r="P12" s="1">
        <v>1.0077518999999999</v>
      </c>
      <c r="Q12" s="1">
        <v>0.88628859999999998</v>
      </c>
      <c r="R12" s="1">
        <v>0.89536930000000003</v>
      </c>
      <c r="S12" s="1">
        <v>3.8987399999999998E-2</v>
      </c>
      <c r="T12" s="1">
        <v>0.89037390000000005</v>
      </c>
      <c r="U12" s="1">
        <v>0.8862312</v>
      </c>
      <c r="V12" s="1">
        <v>1.0096087</v>
      </c>
      <c r="W12" s="1">
        <v>1.1026773000000001</v>
      </c>
      <c r="X12" s="1">
        <v>0.88687709999999997</v>
      </c>
      <c r="Y12" s="1">
        <v>0.96891640000000001</v>
      </c>
      <c r="Z12" s="1">
        <v>2.84009E-2</v>
      </c>
    </row>
    <row r="13" spans="2:26" x14ac:dyDescent="0.25">
      <c r="B13" t="s">
        <v>11</v>
      </c>
      <c r="C13" s="1">
        <v>0.89361740000000001</v>
      </c>
      <c r="D13" s="1">
        <v>1.0017216</v>
      </c>
      <c r="E13" s="1">
        <v>0</v>
      </c>
      <c r="F13" s="1">
        <v>0.94434019999999996</v>
      </c>
      <c r="G13" s="1">
        <v>0.90540050000000005</v>
      </c>
      <c r="H13" s="1">
        <v>0.95024560000000002</v>
      </c>
      <c r="I13" s="1">
        <v>0.89311149999999995</v>
      </c>
      <c r="J13" s="1">
        <v>0.91693259999999999</v>
      </c>
      <c r="K13" s="1">
        <v>0.95657349999999997</v>
      </c>
      <c r="L13" s="1">
        <v>1.8541100000000001E-2</v>
      </c>
      <c r="M13" s="1">
        <v>0.89339109999999999</v>
      </c>
      <c r="N13" s="1">
        <v>0.96664709999999998</v>
      </c>
      <c r="O13" s="1">
        <v>0.98596669999999997</v>
      </c>
      <c r="P13" s="1">
        <v>0.96364070000000002</v>
      </c>
      <c r="Q13" s="1">
        <v>0.89336059999999995</v>
      </c>
      <c r="R13" s="1">
        <v>0.93251609999999996</v>
      </c>
      <c r="S13" s="1">
        <v>3.4554000000000001E-2</v>
      </c>
      <c r="T13" s="1">
        <v>0.89330600000000004</v>
      </c>
      <c r="U13" s="1">
        <v>0.90915270000000004</v>
      </c>
      <c r="V13" s="1">
        <v>0.92684889999999998</v>
      </c>
      <c r="W13" s="1">
        <v>1.0401087</v>
      </c>
      <c r="X13" s="1">
        <v>0.90383860000000005</v>
      </c>
      <c r="Y13" s="1">
        <v>0.91804839999999999</v>
      </c>
      <c r="Z13" s="1">
        <v>5.8252600000000002E-2</v>
      </c>
    </row>
    <row r="14" spans="2:26" x14ac:dyDescent="0.25">
      <c r="B14" t="s">
        <v>12</v>
      </c>
    </row>
    <row r="15" spans="2:26" x14ac:dyDescent="0.25">
      <c r="B15" t="s">
        <v>13</v>
      </c>
      <c r="C15" s="1">
        <v>0.67963390000000001</v>
      </c>
      <c r="D15" s="1">
        <v>0.55846479999999998</v>
      </c>
      <c r="E15" s="1">
        <v>0.73571730000000002</v>
      </c>
      <c r="F15" s="1">
        <v>0.73611380000000004</v>
      </c>
    </row>
    <row r="16" spans="2:26" x14ac:dyDescent="0.25">
      <c r="B16" t="s">
        <v>14</v>
      </c>
      <c r="C16" s="1">
        <v>0.87992099999999995</v>
      </c>
      <c r="D16" s="1">
        <v>0.93950270000000002</v>
      </c>
      <c r="E16" s="1">
        <v>0.92931220000000003</v>
      </c>
      <c r="F16" s="1">
        <v>0</v>
      </c>
      <c r="G16" s="1">
        <v>0.88137560000000004</v>
      </c>
      <c r="H16" s="1">
        <v>1.0141990000000001</v>
      </c>
      <c r="I16" s="1">
        <v>0.87535289999999999</v>
      </c>
      <c r="J16" s="1">
        <v>0.87624120000000005</v>
      </c>
      <c r="K16" s="1">
        <v>0.95858670000000001</v>
      </c>
      <c r="L16" s="1">
        <v>0.96434209999999998</v>
      </c>
      <c r="M16" s="1">
        <v>1.8893699999999999E-2</v>
      </c>
      <c r="N16" s="1">
        <v>0.88401169999999996</v>
      </c>
      <c r="O16" s="1">
        <v>1.0555407999999999</v>
      </c>
      <c r="P16" s="1">
        <v>1.0878095999999999</v>
      </c>
      <c r="Q16" s="1">
        <v>0.87659960000000003</v>
      </c>
      <c r="R16" s="1">
        <v>0.98437359999999996</v>
      </c>
      <c r="S16" s="1">
        <v>0.88202380000000002</v>
      </c>
      <c r="T16" s="1">
        <v>1.9174099999999999E-2</v>
      </c>
      <c r="U16" s="1">
        <v>0.88341190000000003</v>
      </c>
      <c r="V16" s="1">
        <v>0.87672470000000002</v>
      </c>
      <c r="W16" s="1">
        <v>1.0574412</v>
      </c>
      <c r="X16" s="1">
        <v>0.87623790000000001</v>
      </c>
      <c r="Y16" s="1">
        <v>0.96709250000000002</v>
      </c>
      <c r="Z16" s="1">
        <v>0.93674710000000005</v>
      </c>
    </row>
    <row r="17" spans="2:26" x14ac:dyDescent="0.25">
      <c r="B17" t="s">
        <v>15</v>
      </c>
      <c r="C17" s="1">
        <v>0.89647080000000001</v>
      </c>
      <c r="D17" s="1">
        <v>0.89597939999999998</v>
      </c>
      <c r="E17" s="1">
        <v>0.92626310000000001</v>
      </c>
      <c r="F17" s="1">
        <v>0</v>
      </c>
      <c r="G17" s="1">
        <v>0.89822959999999996</v>
      </c>
      <c r="H17" s="1">
        <v>0.94391159999999996</v>
      </c>
      <c r="I17" s="1">
        <v>0.89298699999999998</v>
      </c>
      <c r="J17" s="1">
        <v>0.89365790000000001</v>
      </c>
      <c r="K17" s="1">
        <v>0.89420750000000004</v>
      </c>
      <c r="L17" s="1">
        <v>0.89439749999999996</v>
      </c>
      <c r="M17" s="1">
        <v>1.8186299999999999E-2</v>
      </c>
      <c r="N17" s="1">
        <v>0.89361239999999997</v>
      </c>
      <c r="O17" s="1">
        <v>0.94148560000000003</v>
      </c>
      <c r="P17" s="1">
        <v>0.93998599999999999</v>
      </c>
      <c r="Q17" s="1">
        <v>0.89349080000000003</v>
      </c>
      <c r="R17" s="1">
        <v>0.89422509999999999</v>
      </c>
      <c r="S17" s="1">
        <v>0.92250659999999995</v>
      </c>
      <c r="T17" s="1">
        <v>1.78146E-2</v>
      </c>
      <c r="U17" s="1">
        <v>0.8938739</v>
      </c>
      <c r="V17" s="1">
        <v>0.89592190000000005</v>
      </c>
      <c r="W17" s="1">
        <v>0.94879440000000004</v>
      </c>
      <c r="X17" s="1">
        <v>0.89375210000000005</v>
      </c>
      <c r="Y17" s="1">
        <v>0.90336300000000003</v>
      </c>
      <c r="Z17" s="1">
        <v>0.89498639999999996</v>
      </c>
    </row>
    <row r="18" spans="2:26" x14ac:dyDescent="0.25">
      <c r="B18" t="s">
        <v>16</v>
      </c>
    </row>
    <row r="19" spans="2:26" x14ac:dyDescent="0.25">
      <c r="B19" t="s">
        <v>17</v>
      </c>
      <c r="C19" s="1">
        <v>0.68198820000000004</v>
      </c>
      <c r="D19" s="1">
        <v>0.55843730000000003</v>
      </c>
      <c r="E19" s="1">
        <v>0.73551920000000004</v>
      </c>
      <c r="F19" s="1">
        <v>0.73553199999999996</v>
      </c>
    </row>
    <row r="20" spans="2:26" x14ac:dyDescent="0.25">
      <c r="B20" t="s">
        <v>18</v>
      </c>
      <c r="C20" s="1">
        <v>0.87510469999999996</v>
      </c>
      <c r="D20" s="1">
        <v>0.88152149999999996</v>
      </c>
      <c r="E20" s="1">
        <v>0.89279169999999997</v>
      </c>
      <c r="F20" s="1">
        <v>0.87737920000000003</v>
      </c>
      <c r="G20" s="1">
        <v>0</v>
      </c>
      <c r="H20" s="1">
        <v>1.0711834</v>
      </c>
      <c r="I20" s="1">
        <v>0.87522789999999995</v>
      </c>
      <c r="J20" s="1">
        <v>0.87637880000000001</v>
      </c>
      <c r="K20" s="1">
        <v>0.93389440000000001</v>
      </c>
      <c r="L20" s="1">
        <v>0.92006350000000003</v>
      </c>
      <c r="M20" s="1">
        <v>0.88277939999999999</v>
      </c>
      <c r="N20" s="1">
        <v>1.8681300000000001E-2</v>
      </c>
      <c r="O20" s="1">
        <v>1.0036020000000001</v>
      </c>
      <c r="P20" s="1">
        <v>0.99804780000000004</v>
      </c>
      <c r="Q20" s="1">
        <v>0.87698359999999997</v>
      </c>
      <c r="R20" s="1">
        <v>0.9623256</v>
      </c>
      <c r="S20" s="1">
        <v>0.96192650000000002</v>
      </c>
      <c r="T20" s="1">
        <v>0.88288999999999995</v>
      </c>
      <c r="U20" s="1">
        <v>1.8494400000000001E-2</v>
      </c>
      <c r="V20" s="1">
        <v>0.88473270000000004</v>
      </c>
      <c r="W20" s="1">
        <v>0.99844149999999998</v>
      </c>
      <c r="X20" s="1">
        <v>0.87673710000000005</v>
      </c>
      <c r="Y20" s="1">
        <v>0.94777610000000001</v>
      </c>
      <c r="Z20" s="1">
        <v>0.91608259999999997</v>
      </c>
    </row>
    <row r="21" spans="2:26" x14ac:dyDescent="0.25">
      <c r="B21" t="s">
        <v>19</v>
      </c>
      <c r="C21" s="1">
        <v>0.89312219999999998</v>
      </c>
      <c r="D21" s="1">
        <v>0.89622020000000002</v>
      </c>
      <c r="E21" s="1">
        <v>0.91648220000000002</v>
      </c>
      <c r="F21" s="1">
        <v>0.89363840000000005</v>
      </c>
      <c r="G21" s="1">
        <v>0</v>
      </c>
      <c r="H21" s="1">
        <v>0.93705680000000002</v>
      </c>
      <c r="I21" s="1">
        <v>0.89335850000000006</v>
      </c>
      <c r="J21" s="1">
        <v>0.89325759999999998</v>
      </c>
      <c r="K21" s="1">
        <v>0.89675930000000004</v>
      </c>
      <c r="L21" s="1">
        <v>0.90121669999999998</v>
      </c>
      <c r="M21" s="1">
        <v>0.89377740000000006</v>
      </c>
      <c r="N21" s="1">
        <v>1.8579999999999999E-2</v>
      </c>
      <c r="O21" s="1">
        <v>0.97840260000000001</v>
      </c>
      <c r="P21" s="1">
        <v>0.96272369999999996</v>
      </c>
      <c r="Q21" s="1">
        <v>0.89301090000000005</v>
      </c>
      <c r="R21" s="1">
        <v>0.89411450000000003</v>
      </c>
      <c r="S21" s="1">
        <v>0.89688559999999995</v>
      </c>
      <c r="T21" s="1">
        <v>0.89437509999999998</v>
      </c>
      <c r="U21" s="1">
        <v>1.89502E-2</v>
      </c>
      <c r="V21" s="1">
        <v>0.89283630000000003</v>
      </c>
      <c r="W21" s="1">
        <v>0.9343612</v>
      </c>
      <c r="X21" s="1">
        <v>0.89334610000000003</v>
      </c>
      <c r="Y21" s="1">
        <v>0.89934780000000003</v>
      </c>
      <c r="Z21" s="1">
        <v>0.89671900000000004</v>
      </c>
    </row>
    <row r="22" spans="2:26" x14ac:dyDescent="0.25">
      <c r="B22" t="s">
        <v>20</v>
      </c>
    </row>
    <row r="23" spans="2:26" x14ac:dyDescent="0.25">
      <c r="B23" t="s">
        <v>21</v>
      </c>
      <c r="C23" s="1">
        <v>3.6219627999999999</v>
      </c>
      <c r="D23" s="1">
        <v>3.1862373000000002</v>
      </c>
      <c r="E23" s="1">
        <v>2.8632757999999998</v>
      </c>
      <c r="F23" s="1">
        <v>2.7685792</v>
      </c>
    </row>
    <row r="24" spans="2:26" x14ac:dyDescent="0.25">
      <c r="B24" t="s">
        <v>22</v>
      </c>
      <c r="C24" s="1">
        <v>1.0020514</v>
      </c>
      <c r="D24" s="1">
        <v>1.0229813999999999</v>
      </c>
      <c r="E24" s="1">
        <v>0.94584579999999996</v>
      </c>
      <c r="F24" s="1">
        <v>0.93993040000000005</v>
      </c>
      <c r="G24" s="1">
        <v>0.93465089999999995</v>
      </c>
      <c r="H24" s="1">
        <v>0</v>
      </c>
      <c r="I24" s="1">
        <v>1.0000926999999999</v>
      </c>
      <c r="J24" s="1">
        <v>1.0419855</v>
      </c>
      <c r="K24" s="1">
        <v>1.0695962999999999</v>
      </c>
      <c r="L24" s="1">
        <v>1.0764296</v>
      </c>
      <c r="M24" s="1">
        <v>0.9301817</v>
      </c>
      <c r="N24" s="1">
        <v>0.95069170000000003</v>
      </c>
      <c r="O24" s="1">
        <v>1.0001971999999999</v>
      </c>
      <c r="P24" s="1">
        <v>1.0701897</v>
      </c>
      <c r="Q24" s="1">
        <v>0.94006089999999998</v>
      </c>
      <c r="R24" s="1">
        <v>0.99033210000000005</v>
      </c>
      <c r="S24" s="1">
        <v>1.0354798000000001</v>
      </c>
      <c r="T24" s="1">
        <v>0.97141580000000005</v>
      </c>
      <c r="U24" s="1">
        <v>0.99020600000000003</v>
      </c>
      <c r="V24" s="1">
        <v>8.9964199999999994E-2</v>
      </c>
      <c r="W24" s="1">
        <v>1.0273981000000001</v>
      </c>
      <c r="X24" s="1">
        <v>0.93035789999999996</v>
      </c>
      <c r="Y24" s="1">
        <v>1.0401001000000001</v>
      </c>
      <c r="Z24" s="1">
        <v>1.0198754999999999</v>
      </c>
    </row>
    <row r="25" spans="2:26" x14ac:dyDescent="0.25">
      <c r="B25" t="s">
        <v>23</v>
      </c>
      <c r="C25" s="1">
        <v>0.89235160000000002</v>
      </c>
      <c r="D25" s="1">
        <v>1.0254175999999999</v>
      </c>
      <c r="E25" s="1">
        <v>0.93645789999999995</v>
      </c>
      <c r="F25" s="1">
        <v>1.0216405</v>
      </c>
      <c r="G25" s="1">
        <v>1.0774291</v>
      </c>
      <c r="H25" s="1">
        <v>0</v>
      </c>
      <c r="I25" s="1">
        <v>1.1612384</v>
      </c>
      <c r="J25" s="1">
        <v>1.10303</v>
      </c>
      <c r="K25" s="1">
        <v>0.99774289999999999</v>
      </c>
      <c r="L25" s="1">
        <v>1.0663556999999999</v>
      </c>
      <c r="M25" s="1">
        <v>1.0137658000000001</v>
      </c>
      <c r="N25" s="1">
        <v>1.1416854999999999</v>
      </c>
      <c r="O25" s="1">
        <v>0.97654010000000002</v>
      </c>
      <c r="P25" s="1">
        <v>1.2064557</v>
      </c>
      <c r="Q25" s="1">
        <v>1.070451</v>
      </c>
      <c r="R25" s="1">
        <v>1.1199171999999999</v>
      </c>
      <c r="S25" s="1">
        <v>1.0009246000000001</v>
      </c>
      <c r="T25" s="1">
        <v>1.0601491999999999</v>
      </c>
      <c r="U25" s="1">
        <v>1.0193669999999999</v>
      </c>
      <c r="V25" s="1">
        <v>6.5656699999999998E-2</v>
      </c>
      <c r="W25" s="1">
        <v>1.1104115999999999</v>
      </c>
      <c r="X25" s="1">
        <v>1.0192804</v>
      </c>
      <c r="Y25" s="1">
        <v>1.1640934999999999</v>
      </c>
      <c r="Z25" s="1">
        <v>1.0289836000000001</v>
      </c>
    </row>
    <row r="26" spans="2:26" x14ac:dyDescent="0.25">
      <c r="B26" t="s">
        <v>24</v>
      </c>
    </row>
    <row r="27" spans="2:26" x14ac:dyDescent="0.25">
      <c r="B27" t="s">
        <v>25</v>
      </c>
      <c r="C27" s="1">
        <v>3.4532492000000001</v>
      </c>
      <c r="D27" s="1">
        <v>3.2484446</v>
      </c>
      <c r="E27" s="1">
        <v>2.7866963999999999</v>
      </c>
      <c r="F27" s="1">
        <v>2.9172851999999998</v>
      </c>
    </row>
    <row r="28" spans="2:26" x14ac:dyDescent="0.25">
      <c r="B28" t="s">
        <v>26</v>
      </c>
      <c r="C28" s="1">
        <v>0.88285369999999996</v>
      </c>
      <c r="D28" s="1">
        <v>0.94854660000000002</v>
      </c>
      <c r="E28" s="1">
        <v>0.88239219999999996</v>
      </c>
      <c r="F28" s="1">
        <v>0.88237790000000005</v>
      </c>
      <c r="G28" s="1">
        <v>0.88102480000000005</v>
      </c>
      <c r="H28" s="1">
        <v>1.1485407000000001</v>
      </c>
      <c r="I28" s="1">
        <v>0</v>
      </c>
      <c r="J28" s="1">
        <v>0.88341780000000003</v>
      </c>
      <c r="K28" s="1">
        <v>0.91374489999999997</v>
      </c>
      <c r="L28" s="1">
        <v>0.93413089999999999</v>
      </c>
      <c r="M28" s="1">
        <v>0.8840327</v>
      </c>
      <c r="N28" s="1">
        <v>0.88114190000000003</v>
      </c>
      <c r="O28" s="1">
        <v>1.0096474</v>
      </c>
      <c r="P28" s="1">
        <v>8.2164299999999996E-2</v>
      </c>
      <c r="Q28" s="1">
        <v>0.87950019999999995</v>
      </c>
      <c r="R28" s="1">
        <v>0.94595289999999999</v>
      </c>
      <c r="S28" s="1">
        <v>0.88293359999999999</v>
      </c>
      <c r="T28" s="1">
        <v>0.88364319999999996</v>
      </c>
      <c r="U28" s="1">
        <v>0.88372729999999999</v>
      </c>
      <c r="V28" s="1">
        <v>0.88622469999999998</v>
      </c>
      <c r="W28" s="1">
        <v>7.8680799999999995E-2</v>
      </c>
      <c r="X28" s="1">
        <v>0.87952209999999997</v>
      </c>
      <c r="Y28" s="1">
        <v>0.96072150000000001</v>
      </c>
      <c r="Z28" s="1">
        <v>0.89438819999999997</v>
      </c>
    </row>
    <row r="29" spans="2:26" x14ac:dyDescent="0.25">
      <c r="B29" t="s">
        <v>27</v>
      </c>
      <c r="C29" s="1">
        <v>0.99010160000000003</v>
      </c>
      <c r="D29" s="1">
        <v>0.89383029999999997</v>
      </c>
      <c r="E29" s="1">
        <v>0.89217279999999999</v>
      </c>
      <c r="F29" s="1">
        <v>0.89233039999999997</v>
      </c>
      <c r="G29" s="1">
        <v>0.89220860000000002</v>
      </c>
      <c r="H29" s="1">
        <v>1.0054934</v>
      </c>
      <c r="I29" s="1">
        <v>0</v>
      </c>
      <c r="J29" s="1">
        <v>0.89165000000000005</v>
      </c>
      <c r="K29" s="1">
        <v>0.89747120000000002</v>
      </c>
      <c r="L29" s="1">
        <v>0.89209340000000004</v>
      </c>
      <c r="M29" s="1">
        <v>0.89229939999999996</v>
      </c>
      <c r="N29" s="1">
        <v>0.89214729999999998</v>
      </c>
      <c r="O29" s="1">
        <v>1.0089915</v>
      </c>
      <c r="P29" s="1">
        <v>7.3742199999999994E-2</v>
      </c>
      <c r="Q29" s="1">
        <v>0.89164569999999999</v>
      </c>
      <c r="R29" s="1">
        <v>0.90041590000000005</v>
      </c>
      <c r="S29" s="1">
        <v>0.89730379999999998</v>
      </c>
      <c r="T29" s="1">
        <v>0.89230180000000003</v>
      </c>
      <c r="U29" s="1">
        <v>0.89216209999999996</v>
      </c>
      <c r="V29" s="1">
        <v>0.89214610000000005</v>
      </c>
      <c r="W29" s="1">
        <v>7.1235400000000004E-2</v>
      </c>
      <c r="X29" s="1">
        <v>0.89196679999999995</v>
      </c>
      <c r="Y29" s="1">
        <v>0.89495420000000003</v>
      </c>
      <c r="Z29" s="1">
        <v>0.89444299999999999</v>
      </c>
    </row>
    <row r="30" spans="2:26" x14ac:dyDescent="0.25">
      <c r="B30" t="s">
        <v>0</v>
      </c>
    </row>
    <row r="31" spans="2:26" x14ac:dyDescent="0.25">
      <c r="B31" t="s">
        <v>28</v>
      </c>
      <c r="C31" s="1">
        <v>0.74610920000000003</v>
      </c>
      <c r="D31" s="1">
        <v>0.5556548</v>
      </c>
      <c r="E31" s="1">
        <v>0.73602100000000004</v>
      </c>
      <c r="F31" s="1">
        <v>0.73619990000000002</v>
      </c>
    </row>
    <row r="32" spans="2:26" x14ac:dyDescent="0.25">
      <c r="B32" t="s">
        <v>29</v>
      </c>
      <c r="C32" s="1">
        <v>1.8143699999999999E-2</v>
      </c>
      <c r="D32" s="1">
        <v>0.98080230000000002</v>
      </c>
      <c r="E32" s="1">
        <v>0.90211750000000002</v>
      </c>
      <c r="F32" s="1">
        <v>0.88103989999999999</v>
      </c>
      <c r="G32" s="1">
        <v>0.87968749999999996</v>
      </c>
      <c r="H32" s="1">
        <v>1.0745859</v>
      </c>
      <c r="I32" s="1">
        <v>0.8751776</v>
      </c>
      <c r="J32" s="1">
        <v>0</v>
      </c>
      <c r="K32" s="1">
        <v>0.97168869999999996</v>
      </c>
      <c r="L32" s="1">
        <v>0.96636270000000002</v>
      </c>
      <c r="M32" s="1">
        <v>0.88107489999999999</v>
      </c>
      <c r="N32" s="1">
        <v>0.88266210000000001</v>
      </c>
      <c r="O32" s="1">
        <v>1.0214015999999999</v>
      </c>
      <c r="P32" s="1">
        <v>1.0117719000000001</v>
      </c>
      <c r="Q32" s="1">
        <v>1.9290700000000001E-2</v>
      </c>
      <c r="R32" s="1">
        <v>0.99939299999999998</v>
      </c>
      <c r="S32" s="1">
        <v>0.91227440000000004</v>
      </c>
      <c r="T32" s="1">
        <v>0.88265229999999995</v>
      </c>
      <c r="U32" s="1">
        <v>0.88227319999999998</v>
      </c>
      <c r="V32" s="1">
        <v>0.87667680000000003</v>
      </c>
      <c r="W32" s="1">
        <v>0.99997590000000003</v>
      </c>
      <c r="X32" s="1">
        <v>1.9627100000000001E-2</v>
      </c>
      <c r="Y32" s="1">
        <v>0.90100999999999998</v>
      </c>
      <c r="Z32" s="1">
        <v>0.90178610000000003</v>
      </c>
    </row>
    <row r="33" spans="2:26" x14ac:dyDescent="0.25">
      <c r="B33" t="s">
        <v>30</v>
      </c>
      <c r="C33" s="1">
        <v>1.91939E-2</v>
      </c>
      <c r="D33" s="1">
        <v>0.89519479999999996</v>
      </c>
      <c r="E33" s="1">
        <v>0.89356519999999995</v>
      </c>
      <c r="F33" s="1">
        <v>0.89341760000000003</v>
      </c>
      <c r="G33" s="1">
        <v>0.89369770000000004</v>
      </c>
      <c r="H33" s="1">
        <v>1.0587008</v>
      </c>
      <c r="I33" s="1">
        <v>0.89300990000000002</v>
      </c>
      <c r="J33" s="1">
        <v>0</v>
      </c>
      <c r="K33" s="1">
        <v>0.89203049999999995</v>
      </c>
      <c r="L33" s="1">
        <v>0.89221019999999995</v>
      </c>
      <c r="M33" s="1">
        <v>0.89231729999999998</v>
      </c>
      <c r="N33" s="1">
        <v>0.89231159999999998</v>
      </c>
      <c r="O33" s="1">
        <v>0.95420459999999996</v>
      </c>
      <c r="P33" s="1">
        <v>0.9581769</v>
      </c>
      <c r="Q33" s="1">
        <v>1.8720899999999999E-2</v>
      </c>
      <c r="R33" s="1">
        <v>0.89263440000000005</v>
      </c>
      <c r="S33" s="1">
        <v>0.90918849999999996</v>
      </c>
      <c r="T33" s="1">
        <v>0.89232330000000004</v>
      </c>
      <c r="U33" s="1">
        <v>0.89242460000000001</v>
      </c>
      <c r="V33" s="1">
        <v>0.89932129999999999</v>
      </c>
      <c r="W33" s="1">
        <v>0.94659349999999998</v>
      </c>
      <c r="X33" s="1">
        <v>1.8100000000000002E-2</v>
      </c>
      <c r="Y33" s="1">
        <v>0.89989730000000001</v>
      </c>
      <c r="Z33" s="1">
        <v>0.89590910000000001</v>
      </c>
    </row>
    <row r="34" spans="2:26" x14ac:dyDescent="0.25">
      <c r="B34" t="s">
        <v>4</v>
      </c>
    </row>
    <row r="35" spans="2:26" x14ac:dyDescent="0.25">
      <c r="B35" t="s">
        <v>31</v>
      </c>
      <c r="C35" s="1">
        <v>0.85455179999999997</v>
      </c>
      <c r="D35" s="1">
        <v>0.55004739999999996</v>
      </c>
      <c r="E35" s="1">
        <v>1.0103086999999999</v>
      </c>
      <c r="F35" s="1">
        <v>0.89539270000000004</v>
      </c>
    </row>
    <row r="36" spans="2:26" x14ac:dyDescent="0.25">
      <c r="B36" t="s">
        <v>32</v>
      </c>
      <c r="C36" s="1">
        <v>0.87909360000000003</v>
      </c>
      <c r="D36" s="1">
        <v>3.71487E-2</v>
      </c>
      <c r="E36" s="1">
        <v>0.95415190000000005</v>
      </c>
      <c r="F36" s="1">
        <v>0.88176540000000003</v>
      </c>
      <c r="G36" s="1">
        <v>0.88181880000000001</v>
      </c>
      <c r="H36" s="1">
        <v>0.99285959999999995</v>
      </c>
      <c r="I36" s="1">
        <v>0.88220739999999997</v>
      </c>
      <c r="J36" s="1">
        <v>0.8783166</v>
      </c>
      <c r="K36" s="1">
        <v>0</v>
      </c>
      <c r="L36" s="1">
        <v>0.90941669999999997</v>
      </c>
      <c r="M36" s="1">
        <v>0.8790462</v>
      </c>
      <c r="N36" s="1">
        <v>0.88094899999999998</v>
      </c>
      <c r="O36" s="1">
        <v>1.0155559000000001</v>
      </c>
      <c r="P36" s="1">
        <v>1.0082221</v>
      </c>
      <c r="Q36" s="1">
        <v>0.87692170000000003</v>
      </c>
      <c r="R36" s="1">
        <v>3.7955000000000003E-2</v>
      </c>
      <c r="S36" s="1">
        <v>0.90044089999999999</v>
      </c>
      <c r="T36" s="1">
        <v>0.91057589999999999</v>
      </c>
      <c r="U36" s="1">
        <v>0.89664480000000002</v>
      </c>
      <c r="V36" s="1">
        <v>0.88932630000000001</v>
      </c>
      <c r="W36" s="1">
        <v>1.0003108999999999</v>
      </c>
      <c r="X36" s="1">
        <v>0.89644170000000001</v>
      </c>
      <c r="Y36" s="1">
        <v>2.8752099999999999E-2</v>
      </c>
      <c r="Z36" s="1">
        <v>0.88364620000000005</v>
      </c>
    </row>
    <row r="37" spans="2:26" x14ac:dyDescent="0.25">
      <c r="B37" t="s">
        <v>33</v>
      </c>
      <c r="C37" s="1">
        <v>0.97368500000000002</v>
      </c>
      <c r="D37" s="1">
        <v>1.8871099999999998E-2</v>
      </c>
      <c r="E37" s="1">
        <v>0.92595910000000003</v>
      </c>
      <c r="F37" s="1">
        <v>0.96332790000000001</v>
      </c>
      <c r="G37" s="1">
        <v>0.94504549999999998</v>
      </c>
      <c r="H37" s="1">
        <v>1.0717391999999999</v>
      </c>
      <c r="I37" s="1">
        <v>0.92504839999999999</v>
      </c>
      <c r="J37" s="1">
        <v>0.97971149999999996</v>
      </c>
      <c r="K37" s="1">
        <v>0</v>
      </c>
      <c r="L37" s="1">
        <v>0.89740089999999995</v>
      </c>
      <c r="M37" s="1">
        <v>0.9052403</v>
      </c>
      <c r="N37" s="1">
        <v>0.89362410000000003</v>
      </c>
      <c r="O37" s="1">
        <v>1.0540423000000001</v>
      </c>
      <c r="P37" s="1">
        <v>1.105011</v>
      </c>
      <c r="Q37" s="1">
        <v>0.94437979999999999</v>
      </c>
      <c r="R37" s="1">
        <v>0.37958259999999999</v>
      </c>
      <c r="S37" s="1">
        <v>1.0712284999999999</v>
      </c>
      <c r="T37" s="1">
        <v>0.89472079999999998</v>
      </c>
      <c r="U37" s="1">
        <v>0.91938299999999995</v>
      </c>
      <c r="V37" s="1">
        <v>0.90104580000000001</v>
      </c>
      <c r="W37" s="1">
        <v>0.95588249999999997</v>
      </c>
      <c r="X37" s="1">
        <v>0.92061159999999997</v>
      </c>
      <c r="Y37" s="1">
        <v>4.2559399999999997E-2</v>
      </c>
      <c r="Z37" s="1">
        <v>0.99503560000000002</v>
      </c>
    </row>
    <row r="38" spans="2:26" x14ac:dyDescent="0.25">
      <c r="B38" t="s">
        <v>8</v>
      </c>
    </row>
    <row r="39" spans="2:26" x14ac:dyDescent="0.25">
      <c r="B39" t="s">
        <v>34</v>
      </c>
      <c r="C39" s="1">
        <v>1.0882497</v>
      </c>
      <c r="D39" s="1">
        <v>0.89174889999999996</v>
      </c>
      <c r="E39" s="1">
        <v>0.98380849999999997</v>
      </c>
      <c r="F39" s="1">
        <v>0.76629020000000003</v>
      </c>
    </row>
    <row r="40" spans="2:26" x14ac:dyDescent="0.25">
      <c r="B40" t="s">
        <v>35</v>
      </c>
      <c r="C40" s="1">
        <v>0.87853930000000002</v>
      </c>
      <c r="D40" s="1">
        <v>0.94576530000000003</v>
      </c>
      <c r="E40" s="1">
        <v>1.8460500000000001E-2</v>
      </c>
      <c r="F40" s="1">
        <v>0.879494</v>
      </c>
      <c r="G40" s="1">
        <v>0.88279410000000003</v>
      </c>
      <c r="H40" s="1">
        <v>1.0610275</v>
      </c>
      <c r="I40" s="1">
        <v>0.88012120000000005</v>
      </c>
      <c r="J40" s="1">
        <v>0.87472819999999996</v>
      </c>
      <c r="K40" s="1">
        <v>0.88441179999999997</v>
      </c>
      <c r="L40" s="1">
        <v>0</v>
      </c>
      <c r="M40" s="1">
        <v>0.8815634</v>
      </c>
      <c r="N40" s="1">
        <v>0.89139820000000003</v>
      </c>
      <c r="O40" s="1">
        <v>1.0647123000000001</v>
      </c>
      <c r="P40" s="1">
        <v>1.0076988</v>
      </c>
      <c r="Q40" s="1">
        <v>0.88199159999999999</v>
      </c>
      <c r="R40" s="1">
        <v>0.97188759999999996</v>
      </c>
      <c r="S40" s="1">
        <v>2.82128E-2</v>
      </c>
      <c r="T40" s="1">
        <v>0.88186880000000001</v>
      </c>
      <c r="U40" s="1">
        <v>0.88927560000000005</v>
      </c>
      <c r="V40" s="1">
        <v>0.88876080000000002</v>
      </c>
      <c r="W40" s="1">
        <v>1.081234</v>
      </c>
      <c r="X40" s="1">
        <v>0.88202360000000002</v>
      </c>
      <c r="Y40" s="1">
        <v>0.88294530000000004</v>
      </c>
      <c r="Z40" s="1">
        <v>1.8967399999999999E-2</v>
      </c>
    </row>
    <row r="41" spans="2:26" x14ac:dyDescent="0.25">
      <c r="B41" t="s">
        <v>36</v>
      </c>
      <c r="C41" s="1">
        <v>0.90115049999999997</v>
      </c>
      <c r="D41" s="1">
        <v>0.92767359999999999</v>
      </c>
      <c r="E41" s="1">
        <v>2.88887E-2</v>
      </c>
      <c r="F41" s="1">
        <v>0.98009630000000003</v>
      </c>
      <c r="G41" s="1">
        <v>0.93322090000000002</v>
      </c>
      <c r="H41" s="1">
        <v>1.0715408</v>
      </c>
      <c r="I41" s="1">
        <v>0.92833449999999995</v>
      </c>
      <c r="J41" s="1">
        <v>0.97582100000000005</v>
      </c>
      <c r="K41" s="1">
        <v>0.92515849999999999</v>
      </c>
      <c r="L41" s="1">
        <v>0</v>
      </c>
      <c r="M41" s="1">
        <v>0.893702</v>
      </c>
      <c r="N41" s="1">
        <v>0.94528270000000003</v>
      </c>
      <c r="O41" s="1">
        <v>0.97219180000000005</v>
      </c>
      <c r="P41" s="1">
        <v>0.95487670000000002</v>
      </c>
      <c r="Q41" s="1">
        <v>0.9039412</v>
      </c>
      <c r="R41" s="1">
        <v>0.9230642</v>
      </c>
      <c r="S41" s="1">
        <v>2.7688500000000001E-2</v>
      </c>
      <c r="T41" s="1">
        <v>0.97575089999999998</v>
      </c>
      <c r="U41" s="1">
        <v>0.9409168</v>
      </c>
      <c r="V41" s="1">
        <v>0.90285110000000002</v>
      </c>
      <c r="W41" s="1">
        <v>1.043191</v>
      </c>
      <c r="X41" s="1">
        <v>0.98736670000000004</v>
      </c>
      <c r="Y41" s="1">
        <v>0.98425870000000004</v>
      </c>
      <c r="Z41" s="1">
        <v>2.7409599999999999E-2</v>
      </c>
    </row>
    <row r="42" spans="2:26" x14ac:dyDescent="0.25">
      <c r="B42" t="s">
        <v>12</v>
      </c>
    </row>
    <row r="43" spans="2:26" x14ac:dyDescent="0.25">
      <c r="B43" t="s">
        <v>37</v>
      </c>
      <c r="C43" s="1">
        <v>0.73356149999999998</v>
      </c>
      <c r="D43" s="1">
        <v>0.54503630000000003</v>
      </c>
      <c r="E43" s="1">
        <v>0.73519089999999998</v>
      </c>
      <c r="F43" s="1">
        <v>0.73527240000000005</v>
      </c>
    </row>
    <row r="44" spans="2:26" x14ac:dyDescent="0.25">
      <c r="B44" t="s">
        <v>38</v>
      </c>
      <c r="C44" s="1">
        <v>0.87506629999999996</v>
      </c>
      <c r="D44" s="1">
        <v>0.94832709999999998</v>
      </c>
      <c r="E44" s="1">
        <v>0.88881330000000003</v>
      </c>
      <c r="F44" s="1">
        <v>1.8112199999999998E-2</v>
      </c>
      <c r="G44" s="1">
        <v>0.88154440000000001</v>
      </c>
      <c r="H44" s="1">
        <v>0.99198249999999999</v>
      </c>
      <c r="I44" s="1">
        <v>0.87547209999999998</v>
      </c>
      <c r="J44" s="1">
        <v>0.87523530000000005</v>
      </c>
      <c r="K44" s="1">
        <v>0.90037509999999998</v>
      </c>
      <c r="L44" s="1">
        <v>0.87723850000000003</v>
      </c>
      <c r="M44" s="1">
        <v>0</v>
      </c>
      <c r="N44" s="1">
        <v>0.88489720000000005</v>
      </c>
      <c r="O44" s="1">
        <v>1.0255623</v>
      </c>
      <c r="P44" s="1">
        <v>1.0217445000000001</v>
      </c>
      <c r="Q44" s="1">
        <v>0.8772354</v>
      </c>
      <c r="R44" s="1">
        <v>0.9071939</v>
      </c>
      <c r="S44" s="1">
        <v>0.95565820000000001</v>
      </c>
      <c r="T44" s="1">
        <v>1.9054399999999999E-2</v>
      </c>
      <c r="U44" s="1">
        <v>0.88309499999999996</v>
      </c>
      <c r="V44" s="1">
        <v>0.87697860000000005</v>
      </c>
      <c r="W44" s="1">
        <v>1.1391273</v>
      </c>
      <c r="X44" s="1">
        <v>0.87698339999999997</v>
      </c>
      <c r="Y44" s="1">
        <v>0.89935560000000003</v>
      </c>
      <c r="Z44" s="1">
        <v>0.94248339999999997</v>
      </c>
    </row>
    <row r="45" spans="2:26" x14ac:dyDescent="0.25">
      <c r="B45" t="s">
        <v>39</v>
      </c>
      <c r="C45" s="1">
        <v>0.89499519999999999</v>
      </c>
      <c r="D45" s="1">
        <v>0.90801259999999995</v>
      </c>
      <c r="E45" s="1">
        <v>0.89838309999999999</v>
      </c>
      <c r="F45" s="1">
        <v>1.8918999999999998E-2</v>
      </c>
      <c r="G45" s="1">
        <v>0.89513089999999995</v>
      </c>
      <c r="H45" s="1">
        <v>0.9363823</v>
      </c>
      <c r="I45" s="1">
        <v>0.89435200000000004</v>
      </c>
      <c r="J45" s="1">
        <v>0.89503650000000001</v>
      </c>
      <c r="K45" s="1">
        <v>0.89585610000000004</v>
      </c>
      <c r="L45" s="1">
        <v>0.89503120000000003</v>
      </c>
      <c r="M45" s="1">
        <v>0</v>
      </c>
      <c r="N45" s="1">
        <v>0.89360790000000001</v>
      </c>
      <c r="O45" s="1">
        <v>1.0139875</v>
      </c>
      <c r="P45" s="1">
        <v>0.95525530000000003</v>
      </c>
      <c r="Q45" s="1">
        <v>0.89371489999999998</v>
      </c>
      <c r="R45" s="1">
        <v>0.89611510000000005</v>
      </c>
      <c r="S45" s="1">
        <v>0.89389010000000002</v>
      </c>
      <c r="T45" s="1">
        <v>1.81417E-2</v>
      </c>
      <c r="U45" s="1">
        <v>0.89388060000000003</v>
      </c>
      <c r="V45" s="1">
        <v>0.89335419999999999</v>
      </c>
      <c r="W45" s="1">
        <v>0.94701789999999997</v>
      </c>
      <c r="X45" s="1">
        <v>0.89350989999999997</v>
      </c>
      <c r="Y45" s="1">
        <v>0.90154979999999996</v>
      </c>
      <c r="Z45" s="1">
        <v>0.89455530000000005</v>
      </c>
    </row>
    <row r="46" spans="2:26" x14ac:dyDescent="0.25">
      <c r="B46" t="s">
        <v>16</v>
      </c>
    </row>
    <row r="47" spans="2:26" x14ac:dyDescent="0.25">
      <c r="B47" t="s">
        <v>40</v>
      </c>
      <c r="C47" s="1">
        <v>0.73516150000000002</v>
      </c>
      <c r="D47" s="1">
        <v>0.55080700000000005</v>
      </c>
      <c r="E47" s="1">
        <v>0.73526979999999997</v>
      </c>
      <c r="F47" s="1">
        <v>0.7353961</v>
      </c>
    </row>
    <row r="48" spans="2:26" x14ac:dyDescent="0.25">
      <c r="B48" t="s">
        <v>41</v>
      </c>
      <c r="C48" s="1">
        <v>0.88070990000000005</v>
      </c>
      <c r="D48" s="1">
        <v>0.89951680000000001</v>
      </c>
      <c r="E48" s="1">
        <v>0.95058560000000003</v>
      </c>
      <c r="F48" s="1">
        <v>0.879915</v>
      </c>
      <c r="G48" s="1">
        <v>1.85051E-2</v>
      </c>
      <c r="H48" s="1">
        <v>1.1089405999999999</v>
      </c>
      <c r="I48" s="1">
        <v>0.87520620000000005</v>
      </c>
      <c r="J48" s="1">
        <v>0.87497380000000002</v>
      </c>
      <c r="K48" s="1">
        <v>0.88296940000000002</v>
      </c>
      <c r="L48" s="1">
        <v>0.92786409999999997</v>
      </c>
      <c r="M48" s="1">
        <v>0.8798165</v>
      </c>
      <c r="N48" s="1">
        <v>0</v>
      </c>
      <c r="O48" s="1">
        <v>1.0339062000000001</v>
      </c>
      <c r="P48" s="1">
        <v>1.0015566</v>
      </c>
      <c r="Q48" s="1">
        <v>0.87622860000000002</v>
      </c>
      <c r="R48" s="1">
        <v>0.88703799999999999</v>
      </c>
      <c r="S48" s="1">
        <v>0.94314189999999998</v>
      </c>
      <c r="T48" s="1">
        <v>0.88338779999999995</v>
      </c>
      <c r="U48" s="1">
        <v>1.9072100000000002E-2</v>
      </c>
      <c r="V48" s="1">
        <v>0.87733289999999997</v>
      </c>
      <c r="W48" s="1">
        <v>1.0776565</v>
      </c>
      <c r="X48" s="1">
        <v>0.876359</v>
      </c>
      <c r="Y48" s="1">
        <v>0.90231320000000004</v>
      </c>
      <c r="Z48" s="1">
        <v>0.9363515</v>
      </c>
    </row>
    <row r="49" spans="2:26" x14ac:dyDescent="0.25">
      <c r="B49" t="s">
        <v>42</v>
      </c>
      <c r="C49" s="1">
        <v>0.8942909</v>
      </c>
      <c r="D49" s="1">
        <v>0.89598109999999997</v>
      </c>
      <c r="E49" s="1">
        <v>0.89586809999999995</v>
      </c>
      <c r="F49" s="1">
        <v>0.89550090000000004</v>
      </c>
      <c r="G49" s="1">
        <v>1.8704700000000001E-2</v>
      </c>
      <c r="H49" s="1">
        <v>0.9640417</v>
      </c>
      <c r="I49" s="1">
        <v>0.89473199999999997</v>
      </c>
      <c r="J49" s="1">
        <v>0.89472249999999998</v>
      </c>
      <c r="K49" s="1">
        <v>0.8981614</v>
      </c>
      <c r="L49" s="1">
        <v>0.89548419999999995</v>
      </c>
      <c r="M49" s="1">
        <v>0.8956385</v>
      </c>
      <c r="N49" s="1">
        <v>0</v>
      </c>
      <c r="O49" s="1">
        <v>1.0091918</v>
      </c>
      <c r="P49" s="1">
        <v>0.95086309999999996</v>
      </c>
      <c r="Q49" s="1">
        <v>0.89311929999999995</v>
      </c>
      <c r="R49" s="1">
        <v>0.89408849999999995</v>
      </c>
      <c r="S49" s="1">
        <v>0.90528370000000002</v>
      </c>
      <c r="T49" s="1">
        <v>0.89366699999999999</v>
      </c>
      <c r="U49" s="1">
        <v>1.79782E-2</v>
      </c>
      <c r="V49" s="1">
        <v>0.89288120000000004</v>
      </c>
      <c r="W49" s="1">
        <v>0.93912359999999995</v>
      </c>
      <c r="X49" s="1">
        <v>0.89314749999999998</v>
      </c>
      <c r="Y49" s="1">
        <v>0.89542270000000002</v>
      </c>
      <c r="Z49" s="1">
        <v>0.91252659999999997</v>
      </c>
    </row>
    <row r="50" spans="2:26" x14ac:dyDescent="0.25">
      <c r="B50" t="s">
        <v>20</v>
      </c>
    </row>
    <row r="51" spans="2:26" x14ac:dyDescent="0.25">
      <c r="B51" t="s">
        <v>43</v>
      </c>
      <c r="C51" s="1">
        <v>1.78982</v>
      </c>
      <c r="D51" s="1">
        <v>1.5902928999999999</v>
      </c>
      <c r="E51" s="1">
        <v>1.7891579</v>
      </c>
      <c r="F51" s="1">
        <v>1.9685693</v>
      </c>
    </row>
    <row r="52" spans="2:26" x14ac:dyDescent="0.25">
      <c r="B52" t="s">
        <v>44</v>
      </c>
      <c r="C52" s="1">
        <v>0.98586989999999997</v>
      </c>
      <c r="D52" s="1">
        <v>0.94581459999999995</v>
      </c>
      <c r="E52" s="1">
        <v>0.97135260000000001</v>
      </c>
      <c r="F52" s="1">
        <v>0.92585709999999999</v>
      </c>
      <c r="G52" s="1">
        <v>0.96130159999999998</v>
      </c>
      <c r="H52" s="1">
        <v>0.96065040000000002</v>
      </c>
      <c r="I52" s="1">
        <v>0.98568370000000005</v>
      </c>
      <c r="J52" s="1">
        <v>0.92136379999999996</v>
      </c>
      <c r="K52" s="1">
        <v>1.0304556</v>
      </c>
      <c r="L52" s="1">
        <v>0.96050049999999998</v>
      </c>
      <c r="M52" s="1">
        <v>0.99128680000000002</v>
      </c>
      <c r="N52" s="1">
        <v>1.0001955</v>
      </c>
      <c r="O52" s="1">
        <v>0</v>
      </c>
      <c r="P52" s="1">
        <v>1.0711531999999999</v>
      </c>
      <c r="Q52" s="1">
        <v>0.95049170000000005</v>
      </c>
      <c r="R52" s="1">
        <v>0.98605299999999996</v>
      </c>
      <c r="S52" s="1">
        <v>0.94838929999999999</v>
      </c>
      <c r="T52" s="1">
        <v>1.0201311</v>
      </c>
      <c r="U52" s="1">
        <v>1.01125</v>
      </c>
      <c r="V52" s="1">
        <v>8.0688999999999997E-2</v>
      </c>
      <c r="W52" s="1">
        <v>1.1848946</v>
      </c>
      <c r="X52" s="1">
        <v>0.9712305</v>
      </c>
      <c r="Y52" s="1">
        <v>1.0769656000000001</v>
      </c>
      <c r="Z52" s="1">
        <v>0.9504087</v>
      </c>
    </row>
    <row r="53" spans="2:26" x14ac:dyDescent="0.25">
      <c r="B53" t="s">
        <v>45</v>
      </c>
      <c r="C53" s="1">
        <v>1.0303983999999999</v>
      </c>
      <c r="D53" s="1">
        <v>1.0310481</v>
      </c>
      <c r="E53" s="1">
        <v>1.0500205</v>
      </c>
      <c r="F53" s="1">
        <v>1.0704334</v>
      </c>
      <c r="G53" s="1">
        <v>1.0105044999999999</v>
      </c>
      <c r="H53" s="1">
        <v>0.99568939999999995</v>
      </c>
      <c r="I53" s="1">
        <v>1.0202351000000001</v>
      </c>
      <c r="J53" s="1">
        <v>1.0183941999999999</v>
      </c>
      <c r="K53" s="1">
        <v>1.0149550000000001</v>
      </c>
      <c r="L53" s="1">
        <v>1.080287</v>
      </c>
      <c r="M53" s="1">
        <v>1.0304519999999999</v>
      </c>
      <c r="N53" s="1">
        <v>1.0364994999999999</v>
      </c>
      <c r="O53" s="1">
        <v>0</v>
      </c>
      <c r="P53" s="1">
        <v>1.2076571</v>
      </c>
      <c r="Q53" s="1">
        <v>1.0205328</v>
      </c>
      <c r="R53" s="1">
        <v>1.1001177</v>
      </c>
      <c r="S53" s="1">
        <v>1.0104002999999999</v>
      </c>
      <c r="T53" s="1">
        <v>1.1004498</v>
      </c>
      <c r="U53" s="1">
        <v>0.99075440000000004</v>
      </c>
      <c r="V53" s="1">
        <v>6.9633200000000006E-2</v>
      </c>
      <c r="W53" s="1">
        <v>1.0803094</v>
      </c>
      <c r="X53" s="1">
        <v>1.060092</v>
      </c>
      <c r="Y53" s="1">
        <v>1.1167247</v>
      </c>
      <c r="Z53" s="1">
        <v>1.0435052</v>
      </c>
    </row>
    <row r="54" spans="2:26" x14ac:dyDescent="0.25">
      <c r="B54" t="s">
        <v>24</v>
      </c>
    </row>
    <row r="55" spans="2:26" x14ac:dyDescent="0.25">
      <c r="B55" t="s">
        <v>46</v>
      </c>
      <c r="C55" s="1">
        <v>3.6433317999999999</v>
      </c>
      <c r="D55" s="1">
        <v>3.2263098000000001</v>
      </c>
      <c r="E55" s="1">
        <v>2.9380882000000001</v>
      </c>
      <c r="F55" s="1">
        <v>2.6710769999999999</v>
      </c>
    </row>
    <row r="56" spans="2:26" x14ac:dyDescent="0.25">
      <c r="B56" t="s">
        <v>47</v>
      </c>
      <c r="C56" s="1">
        <v>0.92648819999999998</v>
      </c>
      <c r="D56" s="1">
        <v>1.0744178</v>
      </c>
      <c r="E56" s="1">
        <v>0.94284679999999998</v>
      </c>
      <c r="F56" s="1">
        <v>0.93072339999999998</v>
      </c>
      <c r="G56" s="1">
        <v>0.94114399999999998</v>
      </c>
      <c r="H56" s="1">
        <v>1.2002170000000001</v>
      </c>
      <c r="I56" s="1">
        <v>6.83975E-2</v>
      </c>
      <c r="J56" s="1">
        <v>0.93633650000000002</v>
      </c>
      <c r="K56" s="1">
        <v>1.0861890000000001</v>
      </c>
      <c r="L56" s="1">
        <v>0.94886060000000005</v>
      </c>
      <c r="M56" s="1">
        <v>0.93542530000000002</v>
      </c>
      <c r="N56" s="1">
        <v>0.9306664</v>
      </c>
      <c r="O56" s="1">
        <v>1.2003126</v>
      </c>
      <c r="P56" s="1">
        <v>0</v>
      </c>
      <c r="Q56" s="1">
        <v>0.96149560000000001</v>
      </c>
      <c r="R56" s="1">
        <v>1.0407208999999999</v>
      </c>
      <c r="S56" s="1">
        <v>0.93629379999999995</v>
      </c>
      <c r="T56" s="1">
        <v>0.94336489999999995</v>
      </c>
      <c r="U56" s="1">
        <v>0.95120499999999997</v>
      </c>
      <c r="V56" s="1">
        <v>0.94074630000000004</v>
      </c>
      <c r="W56" s="1">
        <v>0.8206582</v>
      </c>
      <c r="X56" s="1">
        <v>0.97028490000000001</v>
      </c>
      <c r="Y56" s="1">
        <v>1.0701432</v>
      </c>
      <c r="Z56" s="1">
        <v>0.93618040000000002</v>
      </c>
    </row>
    <row r="57" spans="2:26" x14ac:dyDescent="0.25">
      <c r="B57" t="s">
        <v>48</v>
      </c>
      <c r="C57" s="1">
        <v>1.0393314</v>
      </c>
      <c r="D57" s="1">
        <v>1.0537167000000001</v>
      </c>
      <c r="E57" s="1">
        <v>1.026546</v>
      </c>
      <c r="F57" s="1">
        <v>1.1023008999999999</v>
      </c>
      <c r="G57" s="1">
        <v>1.0103507</v>
      </c>
      <c r="H57" s="1">
        <v>1.0802224</v>
      </c>
      <c r="I57" s="1">
        <v>7.6865699999999995E-2</v>
      </c>
      <c r="J57" s="1">
        <v>1.0301175</v>
      </c>
      <c r="K57" s="1">
        <v>1.0212033</v>
      </c>
      <c r="L57" s="1">
        <v>1.0258417</v>
      </c>
      <c r="M57" s="1">
        <v>1.0204601</v>
      </c>
      <c r="N57" s="1">
        <v>1.0172431</v>
      </c>
      <c r="O57" s="1">
        <v>1.0903427999999999</v>
      </c>
      <c r="P57" s="1">
        <v>0</v>
      </c>
      <c r="Q57" s="1">
        <v>1.0401895000000001</v>
      </c>
      <c r="R57" s="1">
        <v>1.0219278000000001</v>
      </c>
      <c r="S57" s="1">
        <v>1.0249317</v>
      </c>
      <c r="T57" s="1">
        <v>1.0750415</v>
      </c>
      <c r="U57" s="1">
        <v>1.1154742</v>
      </c>
      <c r="V57" s="1">
        <v>0.98990440000000002</v>
      </c>
      <c r="W57" s="1">
        <v>0.8350341</v>
      </c>
      <c r="X57" s="1">
        <v>1.0344777000000001</v>
      </c>
      <c r="Y57" s="1">
        <v>1.0141842000000001</v>
      </c>
      <c r="Z57" s="1">
        <v>1.0246729999999999</v>
      </c>
    </row>
    <row r="58" spans="2:26" x14ac:dyDescent="0.25">
      <c r="B58" t="s">
        <v>0</v>
      </c>
    </row>
    <row r="59" spans="2:26" x14ac:dyDescent="0.25">
      <c r="B59" t="s">
        <v>49</v>
      </c>
      <c r="C59" s="1">
        <v>0.73525050000000003</v>
      </c>
      <c r="D59" s="1">
        <v>0.55243869999999995</v>
      </c>
      <c r="E59" s="1">
        <v>0.73681620000000003</v>
      </c>
      <c r="F59" s="1">
        <v>0.73701289999999997</v>
      </c>
    </row>
    <row r="60" spans="2:26" x14ac:dyDescent="0.25">
      <c r="B60" t="s">
        <v>50</v>
      </c>
      <c r="C60" s="1">
        <v>1.7941200000000001E-2</v>
      </c>
      <c r="D60" s="1">
        <v>0.88281540000000003</v>
      </c>
      <c r="E60" s="1">
        <v>0.87810639999999995</v>
      </c>
      <c r="F60" s="1">
        <v>0.88042659999999995</v>
      </c>
      <c r="G60" s="1">
        <v>0.88090970000000002</v>
      </c>
      <c r="H60" s="1">
        <v>1.0434256</v>
      </c>
      <c r="I60" s="1">
        <v>0.87503839999999999</v>
      </c>
      <c r="J60" s="1">
        <v>1.86605E-2</v>
      </c>
      <c r="K60" s="1">
        <v>0.92715190000000003</v>
      </c>
      <c r="L60" s="1">
        <v>0.89779279999999995</v>
      </c>
      <c r="M60" s="1">
        <v>0.88163809999999998</v>
      </c>
      <c r="N60" s="1">
        <v>0.87664390000000003</v>
      </c>
      <c r="O60" s="1">
        <v>1.0218822999999999</v>
      </c>
      <c r="P60" s="1">
        <v>1.0268828999999999</v>
      </c>
      <c r="Q60" s="1">
        <v>0</v>
      </c>
      <c r="R60" s="1">
        <v>0.93575909999999995</v>
      </c>
      <c r="S60" s="1">
        <v>0.96114160000000004</v>
      </c>
      <c r="T60" s="1">
        <v>0.88265629999999995</v>
      </c>
      <c r="U60" s="1">
        <v>0.88215710000000003</v>
      </c>
      <c r="V60" s="1">
        <v>0.87633609999999995</v>
      </c>
      <c r="W60" s="1">
        <v>1.0138613999999999</v>
      </c>
      <c r="X60" s="1">
        <v>1.9505999999999999E-2</v>
      </c>
      <c r="Y60" s="1">
        <v>0.89299919999999999</v>
      </c>
      <c r="Z60" s="1">
        <v>0.9154468</v>
      </c>
    </row>
    <row r="61" spans="2:26" x14ac:dyDescent="0.25">
      <c r="B61" t="s">
        <v>51</v>
      </c>
      <c r="C61" s="1">
        <v>1.88825E-2</v>
      </c>
      <c r="D61" s="1">
        <v>0.89395020000000003</v>
      </c>
      <c r="E61" s="1">
        <v>0.8979182</v>
      </c>
      <c r="F61" s="1">
        <v>0.89341550000000003</v>
      </c>
      <c r="G61" s="1">
        <v>0.89394640000000003</v>
      </c>
      <c r="H61" s="1">
        <v>0.95408559999999998</v>
      </c>
      <c r="I61" s="1">
        <v>0.89356990000000003</v>
      </c>
      <c r="J61" s="1">
        <v>1.9320500000000001E-2</v>
      </c>
      <c r="K61" s="1">
        <v>0.89390899999999995</v>
      </c>
      <c r="L61" s="1">
        <v>0.90505029999999997</v>
      </c>
      <c r="M61" s="1">
        <v>0.89378880000000005</v>
      </c>
      <c r="N61" s="1">
        <v>0.89378049999999998</v>
      </c>
      <c r="O61" s="1">
        <v>0.97741960000000006</v>
      </c>
      <c r="P61" s="1">
        <v>0.98297829999999997</v>
      </c>
      <c r="Q61" s="1">
        <v>0</v>
      </c>
      <c r="R61" s="1">
        <v>0.89217210000000002</v>
      </c>
      <c r="S61" s="1">
        <v>0.89979169999999997</v>
      </c>
      <c r="T61" s="1">
        <v>0.89231990000000005</v>
      </c>
      <c r="U61" s="1">
        <v>0.89252379999999998</v>
      </c>
      <c r="V61" s="1">
        <v>0.8921924</v>
      </c>
      <c r="W61" s="1">
        <v>0.96647689999999997</v>
      </c>
      <c r="X61" s="1">
        <v>1.78485E-2</v>
      </c>
      <c r="Y61" s="1">
        <v>0.89213089999999995</v>
      </c>
      <c r="Z61" s="1">
        <v>0.89663979999999999</v>
      </c>
    </row>
    <row r="62" spans="2:26" x14ac:dyDescent="0.25">
      <c r="B62" t="s">
        <v>4</v>
      </c>
    </row>
    <row r="63" spans="2:26" x14ac:dyDescent="0.25">
      <c r="B63" t="s">
        <v>52</v>
      </c>
      <c r="C63" s="1">
        <v>0.86251880000000003</v>
      </c>
      <c r="D63" s="1">
        <v>0.59104250000000003</v>
      </c>
      <c r="E63" s="1">
        <v>1.1066883000000001</v>
      </c>
      <c r="F63" s="1">
        <v>1.1262483999999999</v>
      </c>
    </row>
    <row r="64" spans="2:26" x14ac:dyDescent="0.25">
      <c r="B64" t="s">
        <v>53</v>
      </c>
      <c r="C64" s="1">
        <v>0.8781331</v>
      </c>
      <c r="D64" s="1">
        <v>1.7650800000000001E-2</v>
      </c>
      <c r="E64" s="1">
        <v>0.92245049999999995</v>
      </c>
      <c r="F64" s="1">
        <v>0.88036110000000001</v>
      </c>
      <c r="G64" s="1">
        <v>0.87972119999999998</v>
      </c>
      <c r="H64" s="1">
        <v>1.0927625000000001</v>
      </c>
      <c r="I64" s="1">
        <v>0.89331320000000003</v>
      </c>
      <c r="J64" s="1">
        <v>0.88018079999999999</v>
      </c>
      <c r="K64" s="1">
        <v>0.38806649999999998</v>
      </c>
      <c r="L64" s="1">
        <v>0.89881630000000001</v>
      </c>
      <c r="M64" s="1">
        <v>0.88184499999999999</v>
      </c>
      <c r="N64" s="1">
        <v>0.88180760000000002</v>
      </c>
      <c r="O64" s="1">
        <v>1.0992782000000001</v>
      </c>
      <c r="P64" s="1">
        <v>1.0114219</v>
      </c>
      <c r="Q64" s="1">
        <v>0.87509610000000004</v>
      </c>
      <c r="R64" s="1">
        <v>0</v>
      </c>
      <c r="S64" s="1">
        <v>0.91164800000000001</v>
      </c>
      <c r="T64" s="1">
        <v>0.89052010000000004</v>
      </c>
      <c r="U64" s="1">
        <v>0.88168930000000001</v>
      </c>
      <c r="V64" s="1">
        <v>0.87700959999999994</v>
      </c>
      <c r="W64" s="1">
        <v>1.0066577999999999</v>
      </c>
      <c r="X64" s="1">
        <v>0.876606</v>
      </c>
      <c r="Y64" s="1">
        <v>2.0553600000000002E-2</v>
      </c>
      <c r="Z64" s="1">
        <v>0.96477009999999996</v>
      </c>
    </row>
    <row r="65" spans="2:26" x14ac:dyDescent="0.25">
      <c r="B65" t="s">
        <v>54</v>
      </c>
      <c r="C65" s="1">
        <v>0.92519070000000003</v>
      </c>
      <c r="D65" s="1">
        <v>1.9085600000000001E-2</v>
      </c>
      <c r="E65" s="1">
        <v>0.91183040000000004</v>
      </c>
      <c r="F65" s="1">
        <v>0.9957087</v>
      </c>
      <c r="G65" s="1">
        <v>0.96330950000000004</v>
      </c>
      <c r="H65" s="1">
        <v>0.99886129999999995</v>
      </c>
      <c r="I65" s="1">
        <v>0.96009140000000004</v>
      </c>
      <c r="J65" s="1">
        <v>1.0027554000000001</v>
      </c>
      <c r="K65" s="1">
        <v>3.7990599999999999E-2</v>
      </c>
      <c r="L65" s="1">
        <v>0.99263950000000001</v>
      </c>
      <c r="M65" s="1">
        <v>0.91553640000000003</v>
      </c>
      <c r="N65" s="1">
        <v>0.89656420000000003</v>
      </c>
      <c r="O65" s="1">
        <v>1.0050749999999999</v>
      </c>
      <c r="P65" s="1">
        <v>1.0446234000000001</v>
      </c>
      <c r="Q65" s="1">
        <v>0.94616599999999995</v>
      </c>
      <c r="R65" s="1">
        <v>0</v>
      </c>
      <c r="S65" s="1">
        <v>0.89487079999999997</v>
      </c>
      <c r="T65" s="1">
        <v>0.89676279999999997</v>
      </c>
      <c r="U65" s="1">
        <v>0.95612050000000004</v>
      </c>
      <c r="V65" s="1">
        <v>0.93012830000000002</v>
      </c>
      <c r="W65" s="1">
        <v>0.98509029999999997</v>
      </c>
      <c r="X65" s="1">
        <v>0.93843390000000004</v>
      </c>
      <c r="Y65" s="1">
        <v>2.7231000000000002E-2</v>
      </c>
      <c r="Z65" s="1">
        <v>0.92621710000000002</v>
      </c>
    </row>
    <row r="66" spans="2:26" x14ac:dyDescent="0.25">
      <c r="B66" t="s">
        <v>8</v>
      </c>
    </row>
    <row r="67" spans="2:26" x14ac:dyDescent="0.25">
      <c r="B67" t="s">
        <v>55</v>
      </c>
      <c r="C67" s="1">
        <v>0.86982300000000001</v>
      </c>
      <c r="D67" s="1">
        <v>0.60705540000000002</v>
      </c>
      <c r="E67" s="1">
        <v>1.0055752</v>
      </c>
      <c r="F67" s="1">
        <v>0.96499060000000003</v>
      </c>
    </row>
    <row r="68" spans="2:26" x14ac:dyDescent="0.25">
      <c r="B68" t="s">
        <v>56</v>
      </c>
      <c r="C68" s="1">
        <v>0.87964529999999996</v>
      </c>
      <c r="D68" s="1">
        <v>0.93096109999999999</v>
      </c>
      <c r="E68" s="1">
        <v>2.7952000000000001E-2</v>
      </c>
      <c r="F68" s="1">
        <v>0.91007760000000004</v>
      </c>
      <c r="G68" s="1">
        <v>0.8803105</v>
      </c>
      <c r="H68" s="1">
        <v>0.99672150000000004</v>
      </c>
      <c r="I68" s="1">
        <v>0.88462229999999997</v>
      </c>
      <c r="J68" s="1">
        <v>0.90022489999999999</v>
      </c>
      <c r="K68" s="1">
        <v>1.0709038</v>
      </c>
      <c r="L68" s="1">
        <v>2.7630600000000002E-2</v>
      </c>
      <c r="M68" s="1">
        <v>0.87879989999999997</v>
      </c>
      <c r="N68" s="1">
        <v>0.88294720000000004</v>
      </c>
      <c r="O68" s="1">
        <v>0.99563670000000004</v>
      </c>
      <c r="P68" s="1">
        <v>1.0070291</v>
      </c>
      <c r="Q68" s="1">
        <v>0.88210509999999998</v>
      </c>
      <c r="R68" s="1">
        <v>0.88788180000000005</v>
      </c>
      <c r="S68" s="1">
        <v>0</v>
      </c>
      <c r="T68" s="1">
        <v>0.88355470000000003</v>
      </c>
      <c r="U68" s="1">
        <v>0.88352889999999995</v>
      </c>
      <c r="V68" s="1">
        <v>0.88563080000000005</v>
      </c>
      <c r="W68" s="1">
        <v>1.0149059</v>
      </c>
      <c r="X68" s="1">
        <v>0.88991640000000005</v>
      </c>
      <c r="Y68" s="1">
        <v>0.95138449999999997</v>
      </c>
      <c r="Z68" s="1">
        <v>3.29669E-2</v>
      </c>
    </row>
    <row r="69" spans="2:26" x14ac:dyDescent="0.25">
      <c r="B69" t="s">
        <v>57</v>
      </c>
      <c r="C69" s="1">
        <v>0.92900320000000003</v>
      </c>
      <c r="D69" s="1">
        <v>1.0161879</v>
      </c>
      <c r="E69" s="1">
        <v>3.9013399999999997E-2</v>
      </c>
      <c r="F69" s="1">
        <v>0.89387539999999999</v>
      </c>
      <c r="G69" s="1">
        <v>0.97607250000000001</v>
      </c>
      <c r="H69" s="1">
        <v>1.0524182</v>
      </c>
      <c r="I69" s="1">
        <v>0.89486840000000001</v>
      </c>
      <c r="J69" s="1">
        <v>0.92289920000000003</v>
      </c>
      <c r="K69" s="1">
        <v>0.91380329999999999</v>
      </c>
      <c r="L69" s="1">
        <v>3.0167599999999999E-2</v>
      </c>
      <c r="M69" s="1">
        <v>0.9697595</v>
      </c>
      <c r="N69" s="1">
        <v>0.95728449999999998</v>
      </c>
      <c r="O69" s="1">
        <v>0.95950749999999996</v>
      </c>
      <c r="P69" s="1">
        <v>0.96258710000000003</v>
      </c>
      <c r="Q69" s="1">
        <v>0.97709040000000003</v>
      </c>
      <c r="R69" s="1">
        <v>0.92885569999999995</v>
      </c>
      <c r="S69" s="1">
        <v>0</v>
      </c>
      <c r="T69" s="1">
        <v>0.94085839999999998</v>
      </c>
      <c r="U69" s="1">
        <v>0.97325280000000003</v>
      </c>
      <c r="V69" s="1">
        <v>0.90272969999999997</v>
      </c>
      <c r="W69" s="1">
        <v>0.95170569999999999</v>
      </c>
      <c r="X69" s="1">
        <v>0.970113</v>
      </c>
      <c r="Y69" s="1">
        <v>0.96890120000000002</v>
      </c>
      <c r="Z69" s="1">
        <v>1.9543399999999999E-2</v>
      </c>
    </row>
    <row r="70" spans="2:26" x14ac:dyDescent="0.25">
      <c r="B70" t="s">
        <v>12</v>
      </c>
    </row>
    <row r="71" spans="2:26" x14ac:dyDescent="0.25">
      <c r="B71" t="s">
        <v>58</v>
      </c>
      <c r="C71" s="1">
        <v>0.6819537</v>
      </c>
      <c r="D71" s="1">
        <v>0.55773090000000003</v>
      </c>
      <c r="E71" s="1">
        <v>0.73567579999999999</v>
      </c>
      <c r="F71" s="1">
        <v>0.73612359999999999</v>
      </c>
    </row>
    <row r="72" spans="2:26" x14ac:dyDescent="0.25">
      <c r="B72" t="s">
        <v>59</v>
      </c>
      <c r="C72" s="1">
        <v>0.87558630000000004</v>
      </c>
      <c r="D72" s="1">
        <v>0.93292050000000004</v>
      </c>
      <c r="E72" s="1">
        <v>0.88154980000000005</v>
      </c>
      <c r="F72" s="1">
        <v>1.77555E-2</v>
      </c>
      <c r="G72" s="1">
        <v>0.880301</v>
      </c>
      <c r="H72" s="1">
        <v>1.0451379000000001</v>
      </c>
      <c r="I72" s="1">
        <v>0.87560510000000003</v>
      </c>
      <c r="J72" s="1">
        <v>0.87609959999999998</v>
      </c>
      <c r="K72" s="1">
        <v>0.88108830000000005</v>
      </c>
      <c r="L72" s="1">
        <v>0.95734050000000004</v>
      </c>
      <c r="M72" s="1">
        <v>1.8077599999999999E-2</v>
      </c>
      <c r="N72" s="1">
        <v>0.88152960000000002</v>
      </c>
      <c r="O72" s="1">
        <v>1.0761228</v>
      </c>
      <c r="P72" s="1">
        <v>1.0566641999999999</v>
      </c>
      <c r="Q72" s="1">
        <v>0.87597539999999996</v>
      </c>
      <c r="R72" s="1">
        <v>0.87966509999999998</v>
      </c>
      <c r="S72" s="1">
        <v>0.92442080000000004</v>
      </c>
      <c r="T72" s="1">
        <v>0</v>
      </c>
      <c r="U72" s="1">
        <v>0.88369200000000003</v>
      </c>
      <c r="V72" s="1">
        <v>0.88348749999999998</v>
      </c>
      <c r="W72" s="1">
        <v>1.0763666999999999</v>
      </c>
      <c r="X72" s="1">
        <v>0.87797570000000003</v>
      </c>
      <c r="Y72" s="1">
        <v>0.91149449999999999</v>
      </c>
      <c r="Z72" s="1">
        <v>0.93232970000000004</v>
      </c>
    </row>
    <row r="73" spans="2:26" x14ac:dyDescent="0.25">
      <c r="B73" t="s">
        <v>60</v>
      </c>
      <c r="C73" s="1">
        <v>0.8948855</v>
      </c>
      <c r="D73" s="1">
        <v>0.8974645</v>
      </c>
      <c r="E73" s="1">
        <v>0.90626169999999995</v>
      </c>
      <c r="F73" s="1">
        <v>1.92208E-2</v>
      </c>
      <c r="G73" s="1">
        <v>0.8949838</v>
      </c>
      <c r="H73" s="1">
        <v>0.98289800000000005</v>
      </c>
      <c r="I73" s="1">
        <v>0.89425089999999996</v>
      </c>
      <c r="J73" s="1">
        <v>0.89500120000000005</v>
      </c>
      <c r="K73" s="1">
        <v>0.93013619999999997</v>
      </c>
      <c r="L73" s="1">
        <v>0.90659239999999996</v>
      </c>
      <c r="M73" s="1">
        <v>1.9085899999999999E-2</v>
      </c>
      <c r="N73" s="1">
        <v>0.89548899999999998</v>
      </c>
      <c r="O73" s="1">
        <v>1.0237217000000001</v>
      </c>
      <c r="P73" s="1">
        <v>0.94583130000000004</v>
      </c>
      <c r="Q73" s="1">
        <v>0.89497260000000001</v>
      </c>
      <c r="R73" s="1">
        <v>0.90586880000000003</v>
      </c>
      <c r="S73" s="1">
        <v>0.89599700000000004</v>
      </c>
      <c r="T73" s="1">
        <v>0</v>
      </c>
      <c r="U73" s="1">
        <v>0.89384269999999999</v>
      </c>
      <c r="V73" s="1">
        <v>0.89310670000000003</v>
      </c>
      <c r="W73" s="1">
        <v>0.93171499999999996</v>
      </c>
      <c r="X73" s="1">
        <v>0.89374569999999998</v>
      </c>
      <c r="Y73" s="1">
        <v>0.89421490000000003</v>
      </c>
      <c r="Z73" s="1">
        <v>0.89414669999999996</v>
      </c>
    </row>
    <row r="74" spans="2:26" x14ac:dyDescent="0.25">
      <c r="B74" t="s">
        <v>16</v>
      </c>
    </row>
    <row r="75" spans="2:26" x14ac:dyDescent="0.25">
      <c r="B75" t="s">
        <v>61</v>
      </c>
      <c r="C75" s="1">
        <v>0.73528269999999996</v>
      </c>
      <c r="D75" s="1">
        <v>0.55292300000000005</v>
      </c>
      <c r="E75" s="1">
        <v>0.73562360000000004</v>
      </c>
      <c r="F75" s="1">
        <v>0.73632880000000001</v>
      </c>
    </row>
    <row r="76" spans="2:26" x14ac:dyDescent="0.25">
      <c r="B76" t="s">
        <v>62</v>
      </c>
      <c r="C76" s="1">
        <v>0.87535909999999995</v>
      </c>
      <c r="D76" s="1">
        <v>0.88170099999999996</v>
      </c>
      <c r="E76" s="1">
        <v>0.89179160000000002</v>
      </c>
      <c r="F76" s="1">
        <v>0.8816948</v>
      </c>
      <c r="G76" s="1">
        <v>1.8879900000000002E-2</v>
      </c>
      <c r="H76" s="1">
        <v>1.0019891000000001</v>
      </c>
      <c r="I76" s="1">
        <v>0.87537620000000005</v>
      </c>
      <c r="J76" s="1">
        <v>0.87611059999999996</v>
      </c>
      <c r="K76" s="1">
        <v>0.90603160000000005</v>
      </c>
      <c r="L76" s="1">
        <v>0.92237829999999998</v>
      </c>
      <c r="M76" s="1">
        <v>0.88164569999999998</v>
      </c>
      <c r="N76" s="1">
        <v>1.7950500000000001E-2</v>
      </c>
      <c r="O76" s="1">
        <v>0.98691649999999997</v>
      </c>
      <c r="P76" s="1">
        <v>1.0838447</v>
      </c>
      <c r="Q76" s="1">
        <v>0.87697769999999997</v>
      </c>
      <c r="R76" s="1">
        <v>0.95589179999999996</v>
      </c>
      <c r="S76" s="1">
        <v>0.95428420000000003</v>
      </c>
      <c r="T76" s="1">
        <v>0.88174770000000002</v>
      </c>
      <c r="U76" s="1">
        <v>0</v>
      </c>
      <c r="V76" s="1">
        <v>0.87699150000000003</v>
      </c>
      <c r="W76" s="1">
        <v>1.0887775</v>
      </c>
      <c r="X76" s="1">
        <v>0.87711190000000006</v>
      </c>
      <c r="Y76" s="1">
        <v>0.8926444</v>
      </c>
      <c r="Z76" s="1">
        <v>0.91293000000000002</v>
      </c>
    </row>
    <row r="77" spans="2:26" x14ac:dyDescent="0.25">
      <c r="B77" t="s">
        <v>63</v>
      </c>
      <c r="C77" s="1">
        <v>0.89737080000000002</v>
      </c>
      <c r="D77" s="1">
        <v>0.89573100000000005</v>
      </c>
      <c r="E77" s="1">
        <v>0.90770510000000004</v>
      </c>
      <c r="F77" s="1">
        <v>0.8961363</v>
      </c>
      <c r="G77" s="1">
        <v>1.8520600000000002E-2</v>
      </c>
      <c r="H77" s="1">
        <v>0.99890760000000001</v>
      </c>
      <c r="I77" s="1">
        <v>0.89464120000000003</v>
      </c>
      <c r="J77" s="1">
        <v>0.89436479999999996</v>
      </c>
      <c r="K77" s="1">
        <v>0.91872670000000001</v>
      </c>
      <c r="L77" s="1">
        <v>0.90505650000000004</v>
      </c>
      <c r="M77" s="1">
        <v>0.89599850000000003</v>
      </c>
      <c r="N77" s="1">
        <v>1.9100700000000002E-2</v>
      </c>
      <c r="O77" s="1">
        <v>1.0337064</v>
      </c>
      <c r="P77" s="1">
        <v>0.97874159999999999</v>
      </c>
      <c r="Q77" s="1">
        <v>0.89422889999999999</v>
      </c>
      <c r="R77" s="1">
        <v>0.89556959999999997</v>
      </c>
      <c r="S77" s="1">
        <v>0.89574580000000004</v>
      </c>
      <c r="T77" s="1">
        <v>0.89552330000000002</v>
      </c>
      <c r="U77" s="1">
        <v>0</v>
      </c>
      <c r="V77" s="1">
        <v>0.89287609999999995</v>
      </c>
      <c r="W77" s="1">
        <v>0.94759389999999999</v>
      </c>
      <c r="X77" s="1">
        <v>0.89336899999999997</v>
      </c>
      <c r="Y77" s="1">
        <v>0.91087819999999997</v>
      </c>
      <c r="Z77" s="1">
        <v>0.93266729999999998</v>
      </c>
    </row>
    <row r="78" spans="2:26" x14ac:dyDescent="0.25">
      <c r="B78" t="s">
        <v>20</v>
      </c>
    </row>
    <row r="79" spans="2:26" x14ac:dyDescent="0.25">
      <c r="B79" t="s">
        <v>64</v>
      </c>
      <c r="C79" s="1">
        <v>3.6723148999999999</v>
      </c>
      <c r="D79" s="1">
        <v>3.2412071</v>
      </c>
      <c r="E79" s="1">
        <v>2.3945823000000002</v>
      </c>
      <c r="F79" s="1">
        <v>2.5741990000000001</v>
      </c>
    </row>
    <row r="80" spans="2:26" x14ac:dyDescent="0.25">
      <c r="B80" t="s">
        <v>65</v>
      </c>
      <c r="C80" s="1">
        <v>0.87837120000000002</v>
      </c>
      <c r="D80" s="1">
        <v>0.89747520000000003</v>
      </c>
      <c r="E80" s="1">
        <v>0.90751479999999995</v>
      </c>
      <c r="F80" s="1">
        <v>0.88101770000000001</v>
      </c>
      <c r="G80" s="1">
        <v>0.88242200000000004</v>
      </c>
      <c r="H80" s="1">
        <v>6.4982399999999996E-2</v>
      </c>
      <c r="I80" s="1">
        <v>0.87833240000000001</v>
      </c>
      <c r="J80" s="1">
        <v>0.87852169999999996</v>
      </c>
      <c r="K80" s="1">
        <v>0.88271049999999995</v>
      </c>
      <c r="L80" s="1">
        <v>0.88238220000000001</v>
      </c>
      <c r="M80" s="1">
        <v>0.88273380000000001</v>
      </c>
      <c r="N80" s="1">
        <v>0.88242889999999996</v>
      </c>
      <c r="O80" s="1">
        <v>8.4070400000000003E-2</v>
      </c>
      <c r="P80" s="1">
        <v>0.98562170000000004</v>
      </c>
      <c r="Q80" s="1">
        <v>0.87923430000000002</v>
      </c>
      <c r="R80" s="1">
        <v>0.90207510000000002</v>
      </c>
      <c r="S80" s="1">
        <v>0.88240909999999995</v>
      </c>
      <c r="T80" s="1">
        <v>0.88226990000000005</v>
      </c>
      <c r="U80" s="1">
        <v>0.88246230000000003</v>
      </c>
      <c r="V80" s="1">
        <v>0</v>
      </c>
      <c r="W80" s="1">
        <v>0.98052790000000001</v>
      </c>
      <c r="X80" s="1">
        <v>0.88319899999999996</v>
      </c>
      <c r="Y80" s="1">
        <v>0.94780450000000005</v>
      </c>
      <c r="Z80" s="1">
        <v>0.95364519999999997</v>
      </c>
    </row>
    <row r="81" spans="2:26" x14ac:dyDescent="0.25">
      <c r="B81" t="s">
        <v>66</v>
      </c>
      <c r="C81" s="1">
        <v>0.9706283</v>
      </c>
      <c r="D81" s="1">
        <v>0.96832680000000004</v>
      </c>
      <c r="E81" s="1">
        <v>1.0202792000000001</v>
      </c>
      <c r="F81" s="1">
        <v>0.89348050000000001</v>
      </c>
      <c r="G81" s="1">
        <v>0.89181880000000002</v>
      </c>
      <c r="H81" s="1">
        <v>8.9909100000000006E-2</v>
      </c>
      <c r="I81" s="1">
        <v>0.89176230000000001</v>
      </c>
      <c r="J81" s="1">
        <v>0.89289240000000003</v>
      </c>
      <c r="K81" s="1">
        <v>0.90312099999999995</v>
      </c>
      <c r="L81" s="1">
        <v>0.89366440000000003</v>
      </c>
      <c r="M81" s="1">
        <v>0.89370059999999996</v>
      </c>
      <c r="N81" s="1">
        <v>0.89333130000000005</v>
      </c>
      <c r="O81" s="1">
        <v>8.6118E-2</v>
      </c>
      <c r="P81" s="1">
        <v>0.94851350000000001</v>
      </c>
      <c r="Q81" s="1">
        <v>0.89280269999999995</v>
      </c>
      <c r="R81" s="1">
        <v>0.89665340000000004</v>
      </c>
      <c r="S81" s="1">
        <v>0.90062279999999995</v>
      </c>
      <c r="T81" s="1">
        <v>0.89183040000000002</v>
      </c>
      <c r="U81" s="1">
        <v>0.89342449999999995</v>
      </c>
      <c r="V81" s="1">
        <v>0</v>
      </c>
      <c r="W81" s="1">
        <v>0.95974760000000003</v>
      </c>
      <c r="X81" s="1">
        <v>0.89194680000000004</v>
      </c>
      <c r="Y81" s="1">
        <v>0.91864089999999998</v>
      </c>
      <c r="Z81" s="1">
        <v>0.92186860000000004</v>
      </c>
    </row>
    <row r="82" spans="2:26" x14ac:dyDescent="0.25">
      <c r="B82" t="s">
        <v>24</v>
      </c>
    </row>
    <row r="83" spans="2:26" x14ac:dyDescent="0.25">
      <c r="B83" t="s">
        <v>67</v>
      </c>
      <c r="C83" s="1">
        <v>1.8783946</v>
      </c>
      <c r="D83" s="1">
        <v>1.5898080000000001</v>
      </c>
      <c r="E83" s="1">
        <v>1.7886293</v>
      </c>
      <c r="F83" s="1">
        <v>1.7882814</v>
      </c>
    </row>
    <row r="84" spans="2:26" x14ac:dyDescent="0.25">
      <c r="B84" t="s">
        <v>68</v>
      </c>
      <c r="C84" s="1">
        <v>0.93131520000000001</v>
      </c>
      <c r="D84" s="1">
        <v>1.0957918</v>
      </c>
      <c r="E84" s="1">
        <v>1.0288881999999999</v>
      </c>
      <c r="F84" s="1">
        <v>0.93512729999999999</v>
      </c>
      <c r="G84" s="1">
        <v>0.92856720000000004</v>
      </c>
      <c r="H84" s="1">
        <v>1.1140737999999999</v>
      </c>
      <c r="I84" s="1">
        <v>6.6666600000000006E-2</v>
      </c>
      <c r="J84" s="1">
        <v>0.93071870000000001</v>
      </c>
      <c r="K84" s="1">
        <v>0.94367769999999995</v>
      </c>
      <c r="L84" s="1">
        <v>1.0208980999999999</v>
      </c>
      <c r="M84" s="1">
        <v>0.93417600000000001</v>
      </c>
      <c r="N84" s="1">
        <v>0.93052199999999996</v>
      </c>
      <c r="O84" s="1">
        <v>1.0714712</v>
      </c>
      <c r="P84" s="1">
        <v>0.82065010000000005</v>
      </c>
      <c r="Q84" s="1">
        <v>0.94567540000000005</v>
      </c>
      <c r="R84" s="1">
        <v>0.97093560000000001</v>
      </c>
      <c r="S84" s="1">
        <v>0.94071249999999995</v>
      </c>
      <c r="T84" s="1">
        <v>0.92379069999999996</v>
      </c>
      <c r="U84" s="1">
        <v>0.94123199999999996</v>
      </c>
      <c r="V84" s="1">
        <v>0.93555710000000003</v>
      </c>
      <c r="W84" s="1">
        <v>0</v>
      </c>
      <c r="X84" s="1">
        <v>0.93559650000000005</v>
      </c>
      <c r="Y84" s="1">
        <v>1.0111650999999999</v>
      </c>
      <c r="Z84" s="1">
        <v>1.0152213999999999</v>
      </c>
    </row>
    <row r="85" spans="2:26" x14ac:dyDescent="0.25">
      <c r="B85" t="s">
        <v>69</v>
      </c>
      <c r="C85" s="1">
        <v>1.0439262</v>
      </c>
      <c r="D85" s="1">
        <v>1.1751676</v>
      </c>
      <c r="E85" s="1">
        <v>1.1363683</v>
      </c>
      <c r="F85" s="1">
        <v>1.0763005999999999</v>
      </c>
      <c r="G85" s="1">
        <v>1.0155221999999999</v>
      </c>
      <c r="H85" s="1">
        <v>1.0339138999999999</v>
      </c>
      <c r="I85" s="1">
        <v>8.0410499999999996E-2</v>
      </c>
      <c r="J85" s="1">
        <v>1.0153439</v>
      </c>
      <c r="K85" s="1">
        <v>1.0157377999999999</v>
      </c>
      <c r="L85" s="1">
        <v>1.0987532</v>
      </c>
      <c r="M85" s="1">
        <v>1.1534359000000001</v>
      </c>
      <c r="N85" s="1">
        <v>1.0887751999999999</v>
      </c>
      <c r="O85" s="1">
        <v>1.2090959999999999</v>
      </c>
      <c r="P85" s="1">
        <v>0.84063509999999997</v>
      </c>
      <c r="Q85" s="1">
        <v>1.0192564</v>
      </c>
      <c r="R85" s="1">
        <v>1.0202761</v>
      </c>
      <c r="S85" s="1">
        <v>1.0218616</v>
      </c>
      <c r="T85" s="1">
        <v>1.094908</v>
      </c>
      <c r="U85" s="1">
        <v>1.1053123</v>
      </c>
      <c r="V85" s="1">
        <v>0.99504590000000004</v>
      </c>
      <c r="W85" s="1">
        <v>0</v>
      </c>
      <c r="X85" s="1">
        <v>1.0223481999999999</v>
      </c>
      <c r="Y85" s="1">
        <v>1.1343386</v>
      </c>
      <c r="Z85" s="1">
        <v>1.2010696000000001</v>
      </c>
    </row>
    <row r="86" spans="2:26" x14ac:dyDescent="0.25">
      <c r="B86" t="s">
        <v>0</v>
      </c>
    </row>
    <row r="87" spans="2:26" x14ac:dyDescent="0.25">
      <c r="B87" t="s">
        <v>70</v>
      </c>
      <c r="C87" s="1">
        <v>0.73523640000000001</v>
      </c>
      <c r="D87" s="1">
        <v>0.5528054</v>
      </c>
      <c r="E87" s="1">
        <v>0.73592449999999998</v>
      </c>
      <c r="F87" s="1">
        <v>0.73565530000000001</v>
      </c>
    </row>
    <row r="88" spans="2:26" x14ac:dyDescent="0.25">
      <c r="B88" t="s">
        <v>71</v>
      </c>
      <c r="C88" s="1">
        <v>1.7693299999999999E-2</v>
      </c>
      <c r="D88" s="1">
        <v>0.8899994</v>
      </c>
      <c r="E88" s="1">
        <v>0.88915040000000001</v>
      </c>
      <c r="F88" s="1">
        <v>0.87811570000000005</v>
      </c>
      <c r="G88" s="1">
        <v>0.87819000000000003</v>
      </c>
      <c r="H88" s="1">
        <v>1.0115198999999999</v>
      </c>
      <c r="I88" s="1">
        <v>0.87500409999999995</v>
      </c>
      <c r="J88" s="1">
        <v>1.8030899999999999E-2</v>
      </c>
      <c r="K88" s="1">
        <v>0.90834329999999996</v>
      </c>
      <c r="L88" s="1">
        <v>0.96870639999999997</v>
      </c>
      <c r="M88" s="1">
        <v>0.88236590000000004</v>
      </c>
      <c r="N88" s="1">
        <v>0.87955070000000002</v>
      </c>
      <c r="O88" s="1">
        <v>1.0510124999999999</v>
      </c>
      <c r="P88" s="1">
        <v>1.0163369</v>
      </c>
      <c r="Q88" s="1">
        <v>1.7815600000000001E-2</v>
      </c>
      <c r="R88" s="1">
        <v>0.93461490000000003</v>
      </c>
      <c r="S88" s="1">
        <v>0.95905759999999995</v>
      </c>
      <c r="T88" s="1">
        <v>0.88125819999999999</v>
      </c>
      <c r="U88" s="1">
        <v>0.88036970000000003</v>
      </c>
      <c r="V88" s="1">
        <v>0.87630819999999998</v>
      </c>
      <c r="W88" s="1">
        <v>1.0111325</v>
      </c>
      <c r="X88" s="1">
        <v>0</v>
      </c>
      <c r="Y88" s="1">
        <v>0.89158059999999995</v>
      </c>
      <c r="Z88" s="1">
        <v>0.96787710000000005</v>
      </c>
    </row>
    <row r="89" spans="2:26" x14ac:dyDescent="0.25">
      <c r="B89" t="s">
        <v>72</v>
      </c>
      <c r="C89" s="1">
        <v>1.95684E-2</v>
      </c>
      <c r="D89" s="1">
        <v>0.90528540000000002</v>
      </c>
      <c r="E89" s="1">
        <v>0.90401050000000005</v>
      </c>
      <c r="F89" s="1">
        <v>0.89330600000000004</v>
      </c>
      <c r="G89" s="1">
        <v>0.89403080000000001</v>
      </c>
      <c r="H89" s="1">
        <v>0.93937660000000001</v>
      </c>
      <c r="I89" s="1">
        <v>0.89371869999999998</v>
      </c>
      <c r="J89" s="1">
        <v>1.96502E-2</v>
      </c>
      <c r="K89" s="1">
        <v>0.90085510000000002</v>
      </c>
      <c r="L89" s="1">
        <v>0.89955160000000001</v>
      </c>
      <c r="M89" s="1">
        <v>0.89366029999999996</v>
      </c>
      <c r="N89" s="1">
        <v>0.89372799999999997</v>
      </c>
      <c r="O89" s="1">
        <v>0.99603339999999996</v>
      </c>
      <c r="P89" s="1">
        <v>0.98072720000000002</v>
      </c>
      <c r="Q89" s="1">
        <v>1.95088E-2</v>
      </c>
      <c r="R89" s="1">
        <v>0.89538189999999995</v>
      </c>
      <c r="S89" s="1">
        <v>0.90191169999999998</v>
      </c>
      <c r="T89" s="1">
        <v>0.89365150000000004</v>
      </c>
      <c r="U89" s="1">
        <v>0.89375420000000005</v>
      </c>
      <c r="V89" s="1">
        <v>0.89343289999999997</v>
      </c>
      <c r="W89" s="1">
        <v>0.94734759999999996</v>
      </c>
      <c r="X89" s="1">
        <v>0</v>
      </c>
      <c r="Y89" s="1">
        <v>0.89506839999999999</v>
      </c>
      <c r="Z89" s="1">
        <v>0.91510219999999998</v>
      </c>
    </row>
    <row r="90" spans="2:26" x14ac:dyDescent="0.25">
      <c r="B90" t="s">
        <v>4</v>
      </c>
    </row>
    <row r="91" spans="2:26" x14ac:dyDescent="0.25">
      <c r="B91" t="s">
        <v>73</v>
      </c>
      <c r="C91" s="1">
        <v>1.2723047999999999</v>
      </c>
      <c r="D91" s="1">
        <v>0.55381389999999997</v>
      </c>
      <c r="E91" s="1">
        <v>0.735429</v>
      </c>
      <c r="F91" s="1">
        <v>0.97815589999999997</v>
      </c>
    </row>
    <row r="92" spans="2:26" x14ac:dyDescent="0.25">
      <c r="B92" t="s">
        <v>74</v>
      </c>
      <c r="C92" s="1">
        <v>0.88560839999999996</v>
      </c>
      <c r="D92" s="1">
        <v>1.84741E-2</v>
      </c>
      <c r="E92" s="1">
        <v>0.90881990000000001</v>
      </c>
      <c r="F92" s="1">
        <v>0.88075780000000004</v>
      </c>
      <c r="G92" s="1">
        <v>0.88000750000000005</v>
      </c>
      <c r="H92" s="1">
        <v>1.1304278000000001</v>
      </c>
      <c r="I92" s="1">
        <v>0.87929179999999996</v>
      </c>
      <c r="J92" s="1">
        <v>0.87530260000000004</v>
      </c>
      <c r="K92" s="1">
        <v>3.6361900000000003E-2</v>
      </c>
      <c r="L92" s="1">
        <v>0.97142930000000005</v>
      </c>
      <c r="M92" s="1">
        <v>0.88303350000000003</v>
      </c>
      <c r="N92" s="1">
        <v>0.88246919999999995</v>
      </c>
      <c r="O92" s="1">
        <v>1.1132500000000001</v>
      </c>
      <c r="P92" s="1">
        <v>1.0037901</v>
      </c>
      <c r="Q92" s="1">
        <v>0.87583900000000003</v>
      </c>
      <c r="R92" s="1">
        <v>2.72009E-2</v>
      </c>
      <c r="S92" s="1">
        <v>0.96102810000000005</v>
      </c>
      <c r="T92" s="1">
        <v>0.88297840000000005</v>
      </c>
      <c r="U92" s="1">
        <v>0.88915060000000001</v>
      </c>
      <c r="V92" s="1">
        <v>0.88764259999999995</v>
      </c>
      <c r="W92" s="1">
        <v>1.1077504</v>
      </c>
      <c r="X92" s="1">
        <v>0.88108249999999999</v>
      </c>
      <c r="Y92" s="1">
        <v>0</v>
      </c>
      <c r="Z92" s="1">
        <v>0.99053720000000001</v>
      </c>
    </row>
    <row r="93" spans="2:26" x14ac:dyDescent="0.25">
      <c r="B93" t="s">
        <v>75</v>
      </c>
      <c r="C93" s="1">
        <v>0.98698450000000004</v>
      </c>
      <c r="D93" s="1">
        <v>3.83024E-2</v>
      </c>
      <c r="E93" s="1">
        <v>0.98692009999999997</v>
      </c>
      <c r="F93" s="1">
        <v>0.98184919999999998</v>
      </c>
      <c r="G93" s="1">
        <v>0.96090129999999996</v>
      </c>
      <c r="H93" s="1">
        <v>1.0338917000000001</v>
      </c>
      <c r="I93" s="1">
        <v>0.95768880000000001</v>
      </c>
      <c r="J93" s="1">
        <v>0.90334820000000005</v>
      </c>
      <c r="K93" s="1">
        <v>2.9162899999999999E-2</v>
      </c>
      <c r="L93" s="1">
        <v>0.89562200000000003</v>
      </c>
      <c r="M93" s="1">
        <v>0.9146533</v>
      </c>
      <c r="N93" s="1">
        <v>0.91739990000000005</v>
      </c>
      <c r="O93" s="1">
        <v>1.0958962000000001</v>
      </c>
      <c r="P93" s="1">
        <v>1.0951917</v>
      </c>
      <c r="Q93" s="1">
        <v>0.90337940000000005</v>
      </c>
      <c r="R93" s="1">
        <v>2.0576000000000001E-2</v>
      </c>
      <c r="S93" s="1">
        <v>0.96465749999999995</v>
      </c>
      <c r="T93" s="1">
        <v>0.92604370000000003</v>
      </c>
      <c r="U93" s="1">
        <v>0.90012289999999995</v>
      </c>
      <c r="V93" s="1">
        <v>0.95340820000000004</v>
      </c>
      <c r="W93" s="1">
        <v>1.0201568999999999</v>
      </c>
      <c r="X93" s="1">
        <v>0.89950750000000002</v>
      </c>
      <c r="Y93" s="1">
        <v>0</v>
      </c>
      <c r="Z93" s="1">
        <v>0.99384399999999995</v>
      </c>
    </row>
    <row r="94" spans="2:26" x14ac:dyDescent="0.25">
      <c r="B94" t="s">
        <v>8</v>
      </c>
    </row>
    <row r="95" spans="2:26" x14ac:dyDescent="0.25">
      <c r="B95" t="s">
        <v>76</v>
      </c>
      <c r="C95" s="1">
        <v>0.76345280000000004</v>
      </c>
      <c r="D95" s="1">
        <v>0.59665369999999995</v>
      </c>
      <c r="E95" s="1">
        <v>1.1051725999999999</v>
      </c>
      <c r="F95" s="1">
        <v>1.0166356999999999</v>
      </c>
    </row>
    <row r="96" spans="2:26" x14ac:dyDescent="0.25">
      <c r="B96" t="s">
        <v>77</v>
      </c>
      <c r="C96" s="1">
        <v>0.88404459999999996</v>
      </c>
      <c r="D96" s="1">
        <v>0.96117929999999996</v>
      </c>
      <c r="E96" s="1">
        <v>5.7443399999999999E-2</v>
      </c>
      <c r="F96" s="1">
        <v>0.87873049999999997</v>
      </c>
      <c r="G96" s="1">
        <v>0.8821485</v>
      </c>
      <c r="H96" s="1">
        <v>1.0214481</v>
      </c>
      <c r="I96" s="1">
        <v>0.87844250000000001</v>
      </c>
      <c r="J96" s="1">
        <v>0.88221910000000003</v>
      </c>
      <c r="K96" s="1">
        <v>0.98623300000000003</v>
      </c>
      <c r="L96" s="1">
        <v>1.93744E-2</v>
      </c>
      <c r="M96" s="1">
        <v>0.88351869999999999</v>
      </c>
      <c r="N96" s="1">
        <v>0.8905246</v>
      </c>
      <c r="O96" s="1">
        <v>1.0422308</v>
      </c>
      <c r="P96" s="1">
        <v>1.0055604</v>
      </c>
      <c r="Q96" s="1">
        <v>0.88151760000000001</v>
      </c>
      <c r="R96" s="1">
        <v>0.90709110000000004</v>
      </c>
      <c r="S96" s="1">
        <v>1.9478800000000001E-2</v>
      </c>
      <c r="T96" s="1">
        <v>0.88679529999999995</v>
      </c>
      <c r="U96" s="1">
        <v>0.91024490000000002</v>
      </c>
      <c r="V96" s="1">
        <v>0.90920210000000001</v>
      </c>
      <c r="W96" s="1">
        <v>1.176652</v>
      </c>
      <c r="X96" s="1">
        <v>0.88148139999999997</v>
      </c>
      <c r="Y96" s="1">
        <v>0.96593899999999999</v>
      </c>
      <c r="Z96" s="1">
        <v>0</v>
      </c>
    </row>
    <row r="97" spans="2:26" x14ac:dyDescent="0.25">
      <c r="B97" t="s">
        <v>78</v>
      </c>
      <c r="C97" s="1">
        <v>0.89365269999999997</v>
      </c>
      <c r="D97" s="1">
        <v>0.89340640000000004</v>
      </c>
      <c r="E97" s="1">
        <v>1.9128800000000001E-2</v>
      </c>
      <c r="F97" s="1">
        <v>0.94656280000000004</v>
      </c>
      <c r="G97" s="1">
        <v>0.93082089999999995</v>
      </c>
      <c r="H97" s="1">
        <v>1.0250454</v>
      </c>
      <c r="I97" s="1">
        <v>0.90503619999999996</v>
      </c>
      <c r="J97" s="1">
        <v>0.91003389999999995</v>
      </c>
      <c r="K97" s="1">
        <v>0.89788219999999996</v>
      </c>
      <c r="L97" s="1">
        <v>1.9002399999999999E-2</v>
      </c>
      <c r="M97" s="1">
        <v>0.95300050000000003</v>
      </c>
      <c r="N97" s="1">
        <v>0.95508459999999995</v>
      </c>
      <c r="O97" s="1">
        <v>0.9617367</v>
      </c>
      <c r="P97" s="1">
        <v>0.95063779999999998</v>
      </c>
      <c r="Q97" s="1">
        <v>0.9167035</v>
      </c>
      <c r="R97" s="1">
        <v>0.98115750000000002</v>
      </c>
      <c r="S97" s="1">
        <v>2.8718500000000001E-2</v>
      </c>
      <c r="T97" s="1">
        <v>0.93403939999999996</v>
      </c>
      <c r="U97" s="1">
        <v>0.92846680000000004</v>
      </c>
      <c r="V97" s="1">
        <v>0.97169970000000006</v>
      </c>
      <c r="W97" s="1">
        <v>1.0340874</v>
      </c>
      <c r="X97" s="1">
        <v>0.96515320000000004</v>
      </c>
      <c r="Y97" s="1">
        <v>1.0063755999999999</v>
      </c>
      <c r="Z9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Computation performance</vt:lpstr>
      <vt:lpstr>Average comm performance</vt:lpstr>
      <vt:lpstr>Send comm performance</vt:lpstr>
      <vt:lpstr>Recv comm performance</vt:lpstr>
      <vt:lpstr>RAW One core per device</vt:lpstr>
      <vt:lpstr>RAW All cores per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Krpic</dc:creator>
  <cp:lastModifiedBy>Zdravko Krpić</cp:lastModifiedBy>
  <dcterms:created xsi:type="dcterms:W3CDTF">2017-06-08T08:19:26Z</dcterms:created>
  <dcterms:modified xsi:type="dcterms:W3CDTF">2018-07-04T08:58:50Z</dcterms:modified>
</cp:coreProperties>
</file>